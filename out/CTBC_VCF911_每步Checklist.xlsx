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8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進度總覽" sheetId="2" state="visible" r:id="rId4"/>
    <sheet name="Checklist" sheetId="3" state="visible" r:id="rId5"/>
    <sheet name="原計畫對照" sheetId="4" state="visible" r:id="rId6"/>
    <sheet name="Gate 簽核" sheetId="5" state="visible" r:id="rId7"/>
    <sheet name="IP &amp; DNS 規劃" sheetId="6" state="visible" r:id="rId8"/>
    <sheet name="待確認事項" sheetId="7" state="visible" r:id="rId9"/>
    <sheet name="官方文件" sheetId="8" state="visible" r:id="rId10"/>
    <sheet name="Lab 驗證覆蓋" sheetId="9" state="visible" r:id="rId11"/>
    <sheet name="Git 參考文件" sheetId="10" state="visible" r:id="rId12"/>
  </sheets>
  <definedNames>
    <definedName function="false" hidden="false" localSheetId="2" name="_xlnm.Print_Titles" vbProcedure="false">Checklist!$3:$3</definedName>
    <definedName function="false" hidden="true" localSheetId="2" name="_xlnm._FilterDatabase" vbProcedure="false">Checklist!$A$3:$O$201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<sst xmlns="http://schemas.openxmlformats.org/spreadsheetml/2006/main" count="2621" uniqueCount="1098">
  <si>
    <r>
      <rPr>
        <b val="true"/>
        <sz val="14"/>
        <color rgb="FF1B1D36"/>
        <rFont val="Noto Sans CJK SC"/>
        <family val="2"/>
      </rPr>
      <t xml:space="preserve">中信 </t>
    </r>
    <r>
      <rPr>
        <b val="true"/>
        <sz val="14"/>
        <color rgb="FF1B1D36"/>
        <rFont val="Arial"/>
        <family val="0"/>
        <charset val="1"/>
      </rPr>
      <t xml:space="preserve">VCF 9.1.1 Converge &amp; Import — </t>
    </r>
    <r>
      <rPr>
        <b val="true"/>
        <sz val="14"/>
        <color rgb="FF1B1D36"/>
        <rFont val="Noto Sans CJK SC"/>
        <family val="2"/>
      </rPr>
      <t xml:space="preserve">每一步 </t>
    </r>
    <r>
      <rPr>
        <b val="true"/>
        <sz val="14"/>
        <color rgb="FF1B1D36"/>
        <rFont val="Arial"/>
        <family val="0"/>
        <charset val="1"/>
      </rPr>
      <t xml:space="preserve">Checklist</t>
    </r>
  </si>
  <si>
    <r>
      <rPr>
        <sz val="9"/>
        <color rgb="FF717074"/>
        <rFont val="Noto Sans CJK SC"/>
        <family val="2"/>
      </rPr>
      <t xml:space="preserve">版本 </t>
    </r>
    <r>
      <rPr>
        <sz val="9"/>
        <color rgb="FF717074"/>
        <rFont val="Arial"/>
        <family val="0"/>
        <charset val="1"/>
      </rPr>
      <t xml:space="preserve">v1</t>
    </r>
    <r>
      <rPr>
        <sz val="9"/>
        <color rgb="FF717074"/>
        <rFont val="Noto Sans CJK SC"/>
        <family val="2"/>
      </rPr>
      <t xml:space="preserve">｜</t>
    </r>
    <r>
      <rPr>
        <sz val="9"/>
        <color rgb="FF717074"/>
        <rFont val="Arial"/>
        <family val="0"/>
        <charset val="1"/>
      </rPr>
      <t xml:space="preserve">2026-10-07</t>
    </r>
    <r>
      <rPr>
        <sz val="9"/>
        <color rgb="FF717074"/>
        <rFont val="Noto Sans CJK SC"/>
        <family val="2"/>
      </rPr>
      <t xml:space="preserve">｜</t>
    </r>
    <r>
      <rPr>
        <sz val="9"/>
        <color rgb="FF717074"/>
        <rFont val="Arial"/>
        <family val="0"/>
        <charset val="1"/>
      </rPr>
      <t xml:space="preserve">Broadcom CXS</t>
    </r>
    <r>
      <rPr>
        <sz val="9"/>
        <color rgb="FF717074"/>
        <rFont val="Noto Sans CJK SC"/>
        <family val="2"/>
      </rPr>
      <t xml:space="preserve">｜對應簡報：</t>
    </r>
    <r>
      <rPr>
        <sz val="9"/>
        <color rgb="FF717074"/>
        <rFont val="Arial"/>
        <family val="0"/>
        <charset val="1"/>
      </rPr>
      <t xml:space="preserve">CTBC_VCF911_Converge_Import_Plan.pptx</t>
    </r>
  </si>
  <si>
    <t xml:space="preserve">範圍</t>
  </si>
  <si>
    <r>
      <rPr>
        <sz val="10"/>
        <color rgb="FF222222"/>
        <rFont val="Arial"/>
        <family val="0"/>
        <charset val="1"/>
      </rPr>
      <t xml:space="preserve">Management Cluster Converge → VCF 9.1.1 </t>
    </r>
    <r>
      <rPr>
        <sz val="10"/>
        <color rgb="FF222222"/>
        <rFont val="Noto Sans CJK SC"/>
        <family val="2"/>
      </rPr>
      <t xml:space="preserve">管理網域；</t>
    </r>
    <r>
      <rPr>
        <sz val="10"/>
        <color rgb="FF222222"/>
        <rFont val="Arial"/>
        <family val="0"/>
        <charset val="1"/>
      </rPr>
      <t xml:space="preserve">vRA 8.18 → VCF Automation 9.1.1</t>
    </r>
    <r>
      <rPr>
        <sz val="10"/>
        <color rgb="FF222222"/>
        <rFont val="Noto Sans CJK SC"/>
        <family val="2"/>
      </rPr>
      <t xml:space="preserve">；整合雲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CJK SC"/>
        <family val="2"/>
      </rPr>
      <t xml:space="preserve">中信雲 </t>
    </r>
    <r>
      <rPr>
        <sz val="10"/>
        <color rgb="FF222222"/>
        <rFont val="Arial"/>
        <family val="0"/>
        <charset val="1"/>
      </rPr>
      <t xml:space="preserve">Import </t>
    </r>
    <r>
      <rPr>
        <sz val="10"/>
        <color rgb="FF222222"/>
        <rFont val="Noto Sans CJK SC"/>
        <family val="2"/>
      </rPr>
      <t xml:space="preserve">為 </t>
    </r>
    <r>
      <rPr>
        <sz val="10"/>
        <color rgb="FF222222"/>
        <rFont val="Arial"/>
        <family val="0"/>
        <charset val="1"/>
      </rPr>
      <t xml:space="preserve">VI Workload Domain </t>
    </r>
    <r>
      <rPr>
        <sz val="10"/>
        <color rgb="FF222222"/>
        <rFont val="Noto Sans CJK SC"/>
        <family val="2"/>
      </rPr>
      <t xml:space="preserve">並升級 </t>
    </r>
    <r>
      <rPr>
        <sz val="10"/>
        <color rgb="FF222222"/>
        <rFont val="Arial"/>
        <family val="0"/>
        <charset val="1"/>
      </rPr>
      <t xml:space="preserve">9.1.1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SRM </t>
    </r>
    <r>
      <rPr>
        <sz val="10"/>
        <color rgb="FF222222"/>
        <rFont val="Noto Sans CJK SC"/>
        <family val="2"/>
      </rPr>
      <t xml:space="preserve">重新註冊；</t>
    </r>
    <r>
      <rPr>
        <sz val="10"/>
        <color rgb="FF222222"/>
        <rFont val="Arial"/>
        <family val="0"/>
        <charset val="1"/>
      </rPr>
      <t xml:space="preserve">vRO → 9.1.1</t>
    </r>
    <r>
      <rPr>
        <sz val="10"/>
        <color rgb="FF222222"/>
        <rFont val="Noto Sans CJK SC"/>
        <family val="2"/>
      </rPr>
      <t xml:space="preserve">。不含 </t>
    </r>
    <r>
      <rPr>
        <sz val="10"/>
        <color rgb="FF222222"/>
        <rFont val="Arial"/>
        <family val="0"/>
        <charset val="1"/>
      </rPr>
      <t xml:space="preserve">NSX Edge cluster</t>
    </r>
    <r>
      <rPr>
        <sz val="10"/>
        <color rgb="FF222222"/>
        <rFont val="Noto Sans CJK SC"/>
        <family val="2"/>
      </rPr>
      <t xml:space="preserve">。</t>
    </r>
  </si>
  <si>
    <t xml:space="preserve">路徑假設</t>
  </si>
  <si>
    <r>
      <rPr>
        <sz val="10"/>
        <color rgb="FF222222"/>
        <rFont val="Arial"/>
        <family val="0"/>
        <charset val="1"/>
      </rPr>
      <t xml:space="preserve">WLD </t>
    </r>
    <r>
      <rPr>
        <sz val="10"/>
        <color rgb="FF222222"/>
        <rFont val="Noto Sans CJK SC"/>
        <family val="2"/>
      </rPr>
      <t xml:space="preserve">採方案 </t>
    </r>
    <r>
      <rPr>
        <sz val="10"/>
        <color rgb="FF222222"/>
        <rFont val="Arial"/>
        <family val="0"/>
        <charset val="1"/>
      </rPr>
      <t xml:space="preserve">B</t>
    </r>
    <r>
      <rPr>
        <sz val="10"/>
        <color rgb="FF222222"/>
        <rFont val="Noto Sans CJK SC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vCenter </t>
    </r>
    <r>
      <rPr>
        <sz val="10"/>
        <color rgb="FF222222"/>
        <rFont val="Noto Sans CJK SC"/>
        <family val="2"/>
      </rPr>
      <t xml:space="preserve">先以 </t>
    </r>
    <r>
      <rPr>
        <sz val="10"/>
        <color rgb="FF222222"/>
        <rFont val="Arial"/>
        <family val="0"/>
        <charset val="1"/>
      </rPr>
      <t xml:space="preserve">RDU </t>
    </r>
    <r>
      <rPr>
        <sz val="10"/>
        <color rgb="FF222222"/>
        <rFont val="Noto Sans CJK SC"/>
        <family val="2"/>
      </rPr>
      <t xml:space="preserve">升 </t>
    </r>
    <r>
      <rPr>
        <sz val="10"/>
        <color rgb="FF222222"/>
        <rFont val="Arial"/>
        <family val="0"/>
        <charset val="1"/>
      </rPr>
      <t xml:space="preserve">9.1.1 → SRM Reconfigure → Import</t>
    </r>
    <r>
      <rPr>
        <sz val="10"/>
        <color rgb="FF222222"/>
        <rFont val="Noto Sans CJK SC"/>
        <family val="2"/>
      </rPr>
      <t xml:space="preserve">（共用管理網域 </t>
    </r>
    <r>
      <rPr>
        <sz val="10"/>
        <color rgb="FF222222"/>
        <rFont val="Arial"/>
        <family val="0"/>
        <charset val="1"/>
      </rPr>
      <t xml:space="preserve">NSX 9.1.1</t>
    </r>
    <r>
      <rPr>
        <sz val="10"/>
        <color rgb="FF222222"/>
        <rFont val="Noto Sans CJK SC"/>
        <family val="2"/>
      </rPr>
      <t xml:space="preserve">）→ </t>
    </r>
    <r>
      <rPr>
        <sz val="10"/>
        <color rgb="FF222222"/>
        <rFont val="Arial"/>
        <family val="0"/>
        <charset val="1"/>
      </rPr>
      <t xml:space="preserve">ESXi </t>
    </r>
    <r>
      <rPr>
        <sz val="10"/>
        <color rgb="FF222222"/>
        <rFont val="Noto Sans CJK SC"/>
        <family val="2"/>
      </rPr>
      <t xml:space="preserve">走 </t>
    </r>
    <r>
      <rPr>
        <sz val="10"/>
        <color rgb="FF222222"/>
        <rFont val="Arial"/>
        <family val="0"/>
        <charset val="1"/>
      </rPr>
      <t xml:space="preserve">VCF LCM</t>
    </r>
    <r>
      <rPr>
        <sz val="10"/>
        <color rgb="FF222222"/>
        <rFont val="Noto Sans CJK SC"/>
        <family val="2"/>
      </rPr>
      <t xml:space="preserve">。若改方案 </t>
    </r>
    <r>
      <rPr>
        <sz val="10"/>
        <color rgb="FF222222"/>
        <rFont val="Arial"/>
        <family val="0"/>
        <charset val="1"/>
      </rPr>
      <t xml:space="preserve">A</t>
    </r>
    <r>
      <rPr>
        <sz val="10"/>
        <color rgb="FF222222"/>
        <rFont val="Noto Sans CJK SC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S07–S14 </t>
    </r>
    <r>
      <rPr>
        <sz val="10"/>
        <color rgb="FF222222"/>
        <rFont val="Noto Sans CJK SC"/>
        <family val="2"/>
      </rPr>
      <t xml:space="preserve">需改寫（見簡報 </t>
    </r>
    <r>
      <rPr>
        <sz val="10"/>
        <color rgb="FF222222"/>
        <rFont val="Arial"/>
        <family val="0"/>
        <charset val="1"/>
      </rPr>
      <t xml:space="preserve">Decision </t>
    </r>
    <r>
      <rPr>
        <sz val="10"/>
        <color rgb="FF222222"/>
        <rFont val="Noto Sans CJK SC"/>
        <family val="2"/>
      </rPr>
      <t xml:space="preserve">頁）。</t>
    </r>
  </si>
  <si>
    <t xml:space="preserve">已確認事項</t>
  </si>
  <si>
    <r>
      <rPr>
        <sz val="10"/>
        <color rgb="FF222222"/>
        <rFont val="Arial"/>
        <family val="0"/>
        <charset val="1"/>
      </rPr>
      <t xml:space="preserve">2026-10-07</t>
    </r>
    <r>
      <rPr>
        <sz val="10"/>
        <color rgb="FF222222"/>
        <rFont val="Noto Sans CJK SC"/>
        <family val="2"/>
      </rPr>
      <t xml:space="preserve">：三套 </t>
    </r>
    <r>
      <rPr>
        <sz val="10"/>
        <color rgb="FF222222"/>
        <rFont val="Arial"/>
        <family val="0"/>
        <charset val="1"/>
      </rPr>
      <t xml:space="preserve">vCenter </t>
    </r>
    <r>
      <rPr>
        <sz val="10"/>
        <color rgb="FF222222"/>
        <rFont val="Noto Sans CJK SC"/>
        <family val="2"/>
      </rPr>
      <t xml:space="preserve">皆無 </t>
    </r>
    <r>
      <rPr>
        <sz val="10"/>
        <color rgb="FF222222"/>
        <rFont val="Arial"/>
        <family val="0"/>
        <charset val="1"/>
      </rPr>
      <t xml:space="preserve">Enhanced Linked Mode</t>
    </r>
    <r>
      <rPr>
        <sz val="10"/>
        <color rgb="FF222222"/>
        <rFont val="Noto Sans CJK SC"/>
        <family val="2"/>
      </rPr>
      <t xml:space="preserve">（客戶確認）。</t>
    </r>
  </si>
  <si>
    <t xml:space="preserve">怎麼填</t>
  </si>
  <si>
    <r>
      <rPr>
        <sz val="10"/>
        <color rgb="FF222222"/>
        <rFont val="Noto Sans CJK SC"/>
        <family val="2"/>
      </rPr>
      <t xml:space="preserve">只需填黃底欄位：『</t>
    </r>
    <r>
      <rPr>
        <sz val="10"/>
        <color rgb="FF222222"/>
        <rFont val="Arial"/>
        <family val="0"/>
        <charset val="1"/>
      </rPr>
      <t xml:space="preserve">Checklist</t>
    </r>
    <r>
      <rPr>
        <sz val="10"/>
        <color rgb="FF222222"/>
        <rFont val="Noto Sans CJK SC"/>
        <family val="2"/>
      </rPr>
      <t xml:space="preserve">』頁的 狀態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CJK SC"/>
        <family val="2"/>
      </rPr>
      <t xml:space="preserve">執行人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CJK SC"/>
        <family val="2"/>
      </rPr>
      <t xml:space="preserve">完成時間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CJK SC"/>
        <family val="2"/>
      </rPr>
      <t xml:space="preserve">證據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CJK SC"/>
        <family val="2"/>
      </rPr>
      <t xml:space="preserve">備註；『</t>
    </r>
    <r>
      <rPr>
        <sz val="10"/>
        <color rgb="FF222222"/>
        <rFont val="Arial"/>
        <family val="0"/>
        <charset val="1"/>
      </rPr>
      <t xml:space="preserve">Gate </t>
    </r>
    <r>
      <rPr>
        <sz val="10"/>
        <color rgb="FF222222"/>
        <rFont val="Noto Sans CJK SC"/>
        <family val="2"/>
      </rPr>
      <t xml:space="preserve">簽核』、『</t>
    </r>
    <r>
      <rPr>
        <sz val="10"/>
        <color rgb="FF222222"/>
        <rFont val="Arial"/>
        <family val="0"/>
        <charset val="1"/>
      </rPr>
      <t xml:space="preserve">IP &amp; DNS </t>
    </r>
    <r>
      <rPr>
        <sz val="10"/>
        <color rgb="FF222222"/>
        <rFont val="Noto Sans CJK SC"/>
        <family val="2"/>
      </rPr>
      <t xml:space="preserve">規劃』、『待確認事項』的黃底欄。其餘為計畫內容，請勿改動。</t>
    </r>
  </si>
  <si>
    <t xml:space="preserve">填寫範例</t>
  </si>
  <si>
    <r>
      <rPr>
        <sz val="10"/>
        <color rgb="FF222222"/>
        <rFont val="Noto Sans CJK SC"/>
        <family val="2"/>
      </rPr>
      <t xml:space="preserve">狀態＝完成｜執行人＝王小明（中信 系統）｜完成時間＝</t>
    </r>
    <r>
      <rPr>
        <sz val="10"/>
        <color rgb="FF222222"/>
        <rFont val="Arial"/>
        <family val="0"/>
        <charset val="1"/>
      </rPr>
      <t xml:space="preserve">2026-10-19 14:30</t>
    </r>
    <r>
      <rPr>
        <sz val="10"/>
        <color rgb="FF222222"/>
        <rFont val="Noto Sans CJK SC"/>
        <family val="2"/>
      </rPr>
      <t xml:space="preserve">｜證據＝</t>
    </r>
    <r>
      <rPr>
        <sz val="10"/>
        <color rgb="FF222222"/>
        <rFont val="Arial"/>
        <family val="0"/>
        <charset val="1"/>
      </rPr>
      <t xml:space="preserve">S04-12_converge-success.png</t>
    </r>
    <r>
      <rPr>
        <sz val="10"/>
        <color rgb="FF222222"/>
        <rFont val="Noto Sans CJK SC"/>
        <family val="2"/>
      </rPr>
      <t xml:space="preserve">｜備註＝</t>
    </r>
    <r>
      <rPr>
        <sz val="10"/>
        <color rgb="FF222222"/>
        <rFont val="Arial"/>
        <family val="0"/>
        <charset val="1"/>
      </rPr>
      <t xml:space="preserve">Validation 2 </t>
    </r>
    <r>
      <rPr>
        <sz val="10"/>
        <color rgb="FF222222"/>
        <rFont val="Noto Sans CJK SC"/>
        <family val="2"/>
      </rPr>
      <t xml:space="preserve">個 </t>
    </r>
    <r>
      <rPr>
        <sz val="10"/>
        <color rgb="FF222222"/>
        <rFont val="Arial"/>
        <family val="0"/>
        <charset val="1"/>
      </rPr>
      <t xml:space="preserve">Warning </t>
    </r>
    <r>
      <rPr>
        <sz val="10"/>
        <color rgb="FF222222"/>
        <rFont val="Noto Sans CJK SC"/>
        <family val="2"/>
      </rPr>
      <t xml:space="preserve">已確認</t>
    </r>
  </si>
  <si>
    <t xml:space="preserve">狀態選項</t>
  </si>
  <si>
    <r>
      <rPr>
        <sz val="10"/>
        <color rgb="FF222222"/>
        <rFont val="Noto Sans CJK SC"/>
        <family val="2"/>
      </rPr>
      <t xml:space="preserve">未開始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CJK SC"/>
        <family val="2"/>
      </rPr>
      <t xml:space="preserve">進行中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CJK SC"/>
        <family val="2"/>
      </rPr>
      <t xml:space="preserve">完成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CJK SC"/>
        <family val="2"/>
      </rPr>
      <t xml:space="preserve">失敗 </t>
    </r>
    <r>
      <rPr>
        <sz val="10"/>
        <color rgb="FF222222"/>
        <rFont val="Arial"/>
        <family val="0"/>
        <charset val="1"/>
      </rPr>
      <t xml:space="preserve">/ N/A</t>
    </r>
    <r>
      <rPr>
        <sz val="10"/>
        <color rgb="FF222222"/>
        <rFont val="Noto Sans CJK SC"/>
        <family val="2"/>
      </rPr>
      <t xml:space="preserve">（下拉選單；『進度總覽』頁自動統計）</t>
    </r>
  </si>
  <si>
    <t xml:space="preserve">類別</t>
  </si>
  <si>
    <r>
      <rPr>
        <sz val="10"/>
        <color rgb="FF222222"/>
        <rFont val="Noto Sans CJK SC"/>
        <family val="2"/>
      </rPr>
      <t xml:space="preserve">前置檢查 → 執行 → 完成驗證 → 退版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CJK SC"/>
        <family val="2"/>
      </rPr>
      <t xml:space="preserve">截止點。每一步的『退版』列須在 </t>
    </r>
    <r>
      <rPr>
        <sz val="10"/>
        <color rgb="FF222222"/>
        <rFont val="Arial"/>
        <family val="0"/>
        <charset val="1"/>
      </rPr>
      <t xml:space="preserve">Lab </t>
    </r>
    <r>
      <rPr>
        <sz val="10"/>
        <color rgb="FF222222"/>
        <rFont val="Noto Sans CJK SC"/>
        <family val="2"/>
      </rPr>
      <t xml:space="preserve">演練過才可進正式環境。</t>
    </r>
  </si>
  <si>
    <t xml:space="preserve">依據欄</t>
  </si>
  <si>
    <r>
      <rPr>
        <sz val="10"/>
        <color rgb="FF222222"/>
        <rFont val="Arial"/>
        <family val="0"/>
        <charset val="1"/>
      </rPr>
      <t xml:space="preserve">TechDocs / KB = Broadcom </t>
    </r>
    <r>
      <rPr>
        <sz val="10"/>
        <color rgb="FF222222"/>
        <rFont val="Noto Sans CJK SC"/>
        <family val="2"/>
      </rPr>
      <t xml:space="preserve">官方文件；</t>
    </r>
    <r>
      <rPr>
        <sz val="10"/>
        <color rgb="FF222222"/>
        <rFont val="Arial"/>
        <family val="0"/>
        <charset val="1"/>
      </rPr>
      <t xml:space="preserve">CXS Lab </t>
    </r>
    <r>
      <rPr>
        <sz val="10"/>
        <color rgb="FF222222"/>
        <rFont val="Noto Sans CJK SC"/>
        <family val="2"/>
      </rPr>
      <t xml:space="preserve">實測 </t>
    </r>
    <r>
      <rPr>
        <sz val="10"/>
        <color rgb="FF222222"/>
        <rFont val="Arial"/>
        <family val="0"/>
        <charset val="1"/>
      </rPr>
      <t xml:space="preserve">= Broadcom CXS </t>
    </r>
    <r>
      <rPr>
        <sz val="10"/>
        <color rgb="FF222222"/>
        <rFont val="Noto Sans CJK SC"/>
        <family val="2"/>
      </rPr>
      <t xml:space="preserve">內部 </t>
    </r>
    <r>
      <rPr>
        <sz val="10"/>
        <color rgb="FF222222"/>
        <rFont val="Arial"/>
        <family val="0"/>
        <charset val="1"/>
      </rPr>
      <t xml:space="preserve">lab </t>
    </r>
    <r>
      <rPr>
        <sz val="10"/>
        <color rgb="FF222222"/>
        <rFont val="Noto Sans CJK SC"/>
        <family val="2"/>
      </rPr>
      <t xml:space="preserve">實測結果（非官方文件）；推定 </t>
    </r>
    <r>
      <rPr>
        <sz val="10"/>
        <color rgb="FF222222"/>
        <rFont val="Arial"/>
        <family val="0"/>
        <charset val="1"/>
      </rPr>
      <t xml:space="preserve">= </t>
    </r>
    <r>
      <rPr>
        <sz val="10"/>
        <color rgb="FF222222"/>
        <rFont val="Noto Sans CJK SC"/>
        <family val="2"/>
      </rPr>
      <t xml:space="preserve">目前無官方文件直接說明，需 </t>
    </r>
    <r>
      <rPr>
        <sz val="10"/>
        <color rgb="FF222222"/>
        <rFont val="Arial"/>
        <family val="0"/>
        <charset val="1"/>
      </rPr>
      <t xml:space="preserve">Lab </t>
    </r>
    <r>
      <rPr>
        <sz val="10"/>
        <color rgb="FF222222"/>
        <rFont val="Noto Sans CJK SC"/>
        <family val="2"/>
      </rPr>
      <t xml:space="preserve">驗證或開 </t>
    </r>
    <r>
      <rPr>
        <sz val="10"/>
        <color rgb="FF222222"/>
        <rFont val="Arial"/>
        <family val="0"/>
        <charset val="1"/>
      </rPr>
      <t xml:space="preserve">SR </t>
    </r>
    <r>
      <rPr>
        <sz val="10"/>
        <color rgb="FF222222"/>
        <rFont val="Noto Sans CJK SC"/>
        <family val="2"/>
      </rPr>
      <t xml:space="preserve">確認。</t>
    </r>
  </si>
  <si>
    <t xml:space="preserve">帳密原則</t>
  </si>
  <si>
    <t xml:space="preserve">本表不記錄任何帳號密碼；需要密碼的步驟一律由客戶密碼保管工具提供。</t>
  </si>
  <si>
    <t xml:space="preserve">負責代號</t>
  </si>
  <si>
    <r>
      <rPr>
        <sz val="10"/>
        <color rgb="FF222222"/>
        <rFont val="Arial"/>
        <family val="0"/>
        <charset val="1"/>
      </rPr>
      <t xml:space="preserve">PM </t>
    </r>
    <r>
      <rPr>
        <sz val="10"/>
        <color rgb="FF222222"/>
        <rFont val="Noto Sans CJK SC"/>
        <family val="2"/>
      </rPr>
      <t xml:space="preserve">專案經理、</t>
    </r>
    <r>
      <rPr>
        <sz val="10"/>
        <color rgb="FF222222"/>
        <rFont val="Arial"/>
        <family val="0"/>
        <charset val="1"/>
      </rPr>
      <t xml:space="preserve">ARC </t>
    </r>
    <r>
      <rPr>
        <sz val="10"/>
        <color rgb="FF222222"/>
        <rFont val="Noto Sans CJK SC"/>
        <family val="2"/>
      </rPr>
      <t xml:space="preserve">架構師、</t>
    </r>
    <r>
      <rPr>
        <sz val="10"/>
        <color rgb="FF222222"/>
        <rFont val="Arial"/>
        <family val="0"/>
        <charset val="1"/>
      </rPr>
      <t xml:space="preserve">ENG </t>
    </r>
    <r>
      <rPr>
        <sz val="10"/>
        <color rgb="FF222222"/>
        <rFont val="Noto Sans CJK SC"/>
        <family val="2"/>
      </rPr>
      <t xml:space="preserve">升級工程師、</t>
    </r>
    <r>
      <rPr>
        <sz val="10"/>
        <color rgb="FF222222"/>
        <rFont val="Arial"/>
        <family val="0"/>
        <charset val="1"/>
      </rPr>
      <t xml:space="preserve">SYS </t>
    </r>
    <r>
      <rPr>
        <sz val="10"/>
        <color rgb="FF222222"/>
        <rFont val="Noto Sans CJK SC"/>
        <family val="2"/>
      </rPr>
      <t xml:space="preserve">系統、</t>
    </r>
    <r>
      <rPr>
        <sz val="10"/>
        <color rgb="FF222222"/>
        <rFont val="Arial"/>
        <family val="0"/>
        <charset val="1"/>
      </rPr>
      <t xml:space="preserve">HW </t>
    </r>
    <r>
      <rPr>
        <sz val="10"/>
        <color rgb="FF222222"/>
        <rFont val="Noto Sans CJK SC"/>
        <family val="2"/>
      </rPr>
      <t xml:space="preserve">硬體、</t>
    </r>
    <r>
      <rPr>
        <sz val="10"/>
        <color rgb="FF222222"/>
        <rFont val="Arial"/>
        <family val="0"/>
        <charset val="1"/>
      </rPr>
      <t xml:space="preserve">NET </t>
    </r>
    <r>
      <rPr>
        <sz val="10"/>
        <color rgb="FF222222"/>
        <rFont val="Noto Sans CJK SC"/>
        <family val="2"/>
      </rPr>
      <t xml:space="preserve">網路、</t>
    </r>
    <r>
      <rPr>
        <sz val="10"/>
        <color rgb="FF222222"/>
        <rFont val="Arial"/>
        <family val="0"/>
        <charset val="1"/>
      </rPr>
      <t xml:space="preserve">SEC </t>
    </r>
    <r>
      <rPr>
        <sz val="10"/>
        <color rgb="FF222222"/>
        <rFont val="Noto Sans CJK SC"/>
        <family val="2"/>
      </rPr>
      <t xml:space="preserve">資安、</t>
    </r>
    <r>
      <rPr>
        <sz val="10"/>
        <color rgb="FF222222"/>
        <rFont val="Arial"/>
        <family val="0"/>
        <charset val="1"/>
      </rPr>
      <t xml:space="preserve">DR DR </t>
    </r>
    <r>
      <rPr>
        <sz val="10"/>
        <color rgb="FF222222"/>
        <rFont val="Noto Sans CJK SC"/>
        <family val="2"/>
      </rPr>
      <t xml:space="preserve">負責人、</t>
    </r>
    <r>
      <rPr>
        <sz val="10"/>
        <color rgb="FF222222"/>
        <rFont val="Arial"/>
        <family val="0"/>
        <charset val="1"/>
      </rPr>
      <t xml:space="preserve">AUTO </t>
    </r>
    <r>
      <rPr>
        <sz val="10"/>
        <color rgb="FF222222"/>
        <rFont val="Noto Sans CJK SC"/>
        <family val="2"/>
      </rPr>
      <t xml:space="preserve">自動化平台、</t>
    </r>
    <r>
      <rPr>
        <sz val="10"/>
        <color rgb="FF222222"/>
        <rFont val="Arial"/>
        <family val="0"/>
        <charset val="1"/>
      </rPr>
      <t xml:space="preserve">APP </t>
    </r>
    <r>
      <rPr>
        <sz val="10"/>
        <color rgb="FF222222"/>
        <rFont val="Noto Sans CJK SC"/>
        <family val="2"/>
      </rPr>
      <t xml:space="preserve">應用驗證、</t>
    </r>
    <r>
      <rPr>
        <sz val="10"/>
        <color rgb="FF222222"/>
        <rFont val="Arial"/>
        <family val="0"/>
        <charset val="1"/>
      </rPr>
      <t xml:space="preserve">CHG </t>
    </r>
    <r>
      <rPr>
        <sz val="10"/>
        <color rgb="FF222222"/>
        <rFont val="Noto Sans CJK SC"/>
        <family val="2"/>
      </rPr>
      <t xml:space="preserve">變更管理、</t>
    </r>
    <r>
      <rPr>
        <sz val="10"/>
        <color rgb="FF222222"/>
        <rFont val="Arial"/>
        <family val="0"/>
        <charset val="1"/>
      </rPr>
      <t xml:space="preserve">GSS </t>
    </r>
    <r>
      <rPr>
        <sz val="10"/>
        <color rgb="FF222222"/>
        <rFont val="Noto Sans CJK SC"/>
        <family val="2"/>
      </rPr>
      <t xml:space="preserve">原廠支援（同人員表）</t>
    </r>
  </si>
  <si>
    <r>
      <rPr>
        <b val="true"/>
        <sz val="12"/>
        <color rgb="FF1B1D36"/>
        <rFont val="Arial"/>
        <family val="0"/>
        <charset val="1"/>
      </rPr>
      <t xml:space="preserve">Gate </t>
    </r>
    <r>
      <rPr>
        <b val="true"/>
        <sz val="12"/>
        <color rgb="FF1B1D36"/>
        <rFont val="Noto Sans CJK SC"/>
        <family val="2"/>
      </rPr>
      <t xml:space="preserve">與 </t>
    </r>
    <r>
      <rPr>
        <b val="true"/>
        <sz val="12"/>
        <color rgb="FF1B1D36"/>
        <rFont val="Arial"/>
        <family val="0"/>
        <charset val="1"/>
      </rPr>
      <t xml:space="preserve">PONR</t>
    </r>
  </si>
  <si>
    <t xml:space="preserve">Gate</t>
  </si>
  <si>
    <r>
      <rPr>
        <b val="true"/>
        <sz val="10"/>
        <color rgb="FFFFFFFF"/>
        <rFont val="Noto Sans CJK SC"/>
        <family val="2"/>
      </rPr>
      <t xml:space="preserve">時點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說明</t>
    </r>
  </si>
  <si>
    <t xml:space="preserve">G0</t>
  </si>
  <si>
    <r>
      <rPr>
        <sz val="10"/>
        <color rgb="FF222222"/>
        <rFont val="Arial"/>
        <family val="0"/>
        <charset val="1"/>
      </rPr>
      <t xml:space="preserve">S00 </t>
    </r>
    <r>
      <rPr>
        <sz val="10"/>
        <color rgb="FF222222"/>
        <rFont val="Noto Sans CJK SC"/>
        <family val="2"/>
      </rPr>
      <t xml:space="preserve">後｜盤點與備份｜放行條件：阻礙項清零、三套 </t>
    </r>
    <r>
      <rPr>
        <sz val="10"/>
        <color rgb="FF222222"/>
        <rFont val="Arial"/>
        <family val="0"/>
        <charset val="1"/>
      </rPr>
      <t xml:space="preserve">vCenter </t>
    </r>
    <r>
      <rPr>
        <sz val="10"/>
        <color rgb="FF222222"/>
        <rFont val="Noto Sans CJK SC"/>
        <family val="2"/>
      </rPr>
      <t xml:space="preserve">備份可還原、</t>
    </r>
    <r>
      <rPr>
        <sz val="10"/>
        <color rgb="FF222222"/>
        <rFont val="Arial"/>
        <family val="0"/>
        <charset val="1"/>
      </rPr>
      <t xml:space="preserve">IP/DNS </t>
    </r>
    <r>
      <rPr>
        <sz val="10"/>
        <color rgb="FF222222"/>
        <rFont val="Noto Sans CJK SC"/>
        <family val="2"/>
      </rPr>
      <t xml:space="preserve">驗證完成｜簽核：</t>
    </r>
    <r>
      <rPr>
        <sz val="10"/>
        <color rgb="FF222222"/>
        <rFont val="Arial"/>
        <family val="0"/>
        <charset val="1"/>
      </rPr>
      <t xml:space="preserve">PM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ARC</t>
    </r>
  </si>
  <si>
    <t xml:space="preserve">G1 ⚠ PONR</t>
  </si>
  <si>
    <r>
      <rPr>
        <sz val="10"/>
        <color rgb="FF222222"/>
        <rFont val="Arial"/>
        <family val="0"/>
        <charset val="1"/>
      </rPr>
      <t xml:space="preserve">S04 </t>
    </r>
    <r>
      <rPr>
        <sz val="10"/>
        <color rgb="FF222222"/>
        <rFont val="Noto Sans CJK SC"/>
        <family val="2"/>
      </rPr>
      <t xml:space="preserve">後｜</t>
    </r>
    <r>
      <rPr>
        <sz val="10"/>
        <color rgb="FF222222"/>
        <rFont val="Arial"/>
        <family val="0"/>
        <charset val="1"/>
      </rPr>
      <t xml:space="preserve">Converge </t>
    </r>
    <r>
      <rPr>
        <sz val="10"/>
        <color rgb="FF222222"/>
        <rFont val="Noto Sans CJK SC"/>
        <family val="2"/>
      </rPr>
      <t xml:space="preserve">完成｜放行條件：管理網域 </t>
    </r>
    <r>
      <rPr>
        <sz val="10"/>
        <color rgb="FF222222"/>
        <rFont val="Arial"/>
        <family val="0"/>
        <charset val="1"/>
      </rPr>
      <t xml:space="preserve">ACTIVE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NSX / VCF Ops </t>
    </r>
    <r>
      <rPr>
        <sz val="10"/>
        <color rgb="FF222222"/>
        <rFont val="Noto Sans CJK SC"/>
        <family val="2"/>
      </rPr>
      <t xml:space="preserve">正常、第一次 </t>
    </r>
    <r>
      <rPr>
        <sz val="10"/>
        <color rgb="FF222222"/>
        <rFont val="Arial"/>
        <family val="0"/>
        <charset val="1"/>
      </rPr>
      <t xml:space="preserve">SFTP </t>
    </r>
    <r>
      <rPr>
        <sz val="10"/>
        <color rgb="FF222222"/>
        <rFont val="Noto Sans CJK SC"/>
        <family val="2"/>
      </rPr>
      <t xml:space="preserve">備份成功｜簽核：</t>
    </r>
    <r>
      <rPr>
        <sz val="10"/>
        <color rgb="FF222222"/>
        <rFont val="Arial"/>
        <family val="0"/>
        <charset val="1"/>
      </rPr>
      <t xml:space="preserve">PM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ARC</t>
    </r>
  </si>
  <si>
    <t xml:space="preserve">G2</t>
  </si>
  <si>
    <r>
      <rPr>
        <sz val="10"/>
        <color rgb="FF222222"/>
        <rFont val="Arial"/>
        <family val="0"/>
        <charset val="1"/>
      </rPr>
      <t xml:space="preserve">S06 </t>
    </r>
    <r>
      <rPr>
        <sz val="10"/>
        <color rgb="FF222222"/>
        <rFont val="Noto Sans CJK SC"/>
        <family val="2"/>
      </rPr>
      <t xml:space="preserve">後｜</t>
    </r>
    <r>
      <rPr>
        <sz val="10"/>
        <color rgb="FF222222"/>
        <rFont val="Arial"/>
        <family val="0"/>
        <charset val="1"/>
      </rPr>
      <t xml:space="preserve">VCFA 9.1.1 cutover</t>
    </r>
    <r>
      <rPr>
        <sz val="10"/>
        <color rgb="FF222222"/>
        <rFont val="Noto Sans CJK SC"/>
        <family val="2"/>
      </rPr>
      <t xml:space="preserve">｜放行條件：</t>
    </r>
    <r>
      <rPr>
        <sz val="10"/>
        <color rgb="FF222222"/>
        <rFont val="Arial"/>
        <family val="0"/>
        <charset val="1"/>
      </rPr>
      <t xml:space="preserve">Tenant / Provider </t>
    </r>
    <r>
      <rPr>
        <sz val="10"/>
        <color rgb="FF222222"/>
        <rFont val="Noto Sans CJK SC"/>
        <family val="2"/>
      </rPr>
      <t xml:space="preserve">登入、資料完整、</t>
    </r>
    <r>
      <rPr>
        <sz val="10"/>
        <color rgb="FF222222"/>
        <rFont val="Arial"/>
        <family val="0"/>
        <charset val="1"/>
      </rPr>
      <t xml:space="preserve">Day-2 </t>
    </r>
    <r>
      <rPr>
        <sz val="10"/>
        <color rgb="FF222222"/>
        <rFont val="Noto Sans CJK SC"/>
        <family val="2"/>
      </rPr>
      <t xml:space="preserve">成功；</t>
    </r>
    <r>
      <rPr>
        <sz val="10"/>
        <color rgb="FF222222"/>
        <rFont val="Arial"/>
        <family val="0"/>
        <charset val="1"/>
      </rPr>
      <t xml:space="preserve">8.18 </t>
    </r>
    <r>
      <rPr>
        <sz val="10"/>
        <color rgb="FF222222"/>
        <rFont val="Noto Sans CJK SC"/>
        <family val="2"/>
      </rPr>
      <t xml:space="preserve">來源保留至觀察期後｜簽核：</t>
    </r>
    <r>
      <rPr>
        <sz val="10"/>
        <color rgb="FF222222"/>
        <rFont val="Arial"/>
        <family val="0"/>
        <charset val="1"/>
      </rPr>
      <t xml:space="preserve">PM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AUTO</t>
    </r>
  </si>
  <si>
    <t xml:space="preserve">G3 ⚠ PONR</t>
  </si>
  <si>
    <r>
      <rPr>
        <sz val="10"/>
        <color rgb="FF222222"/>
        <rFont val="Arial"/>
        <family val="0"/>
        <charset val="1"/>
      </rPr>
      <t xml:space="preserve">S09</t>
    </r>
    <r>
      <rPr>
        <sz val="10"/>
        <color rgb="FF222222"/>
        <rFont val="Noto Sans CJK SC"/>
        <family val="2"/>
      </rPr>
      <t xml:space="preserve">｜整合雲 </t>
    </r>
    <r>
      <rPr>
        <sz val="10"/>
        <color rgb="FF222222"/>
        <rFont val="Arial"/>
        <family val="0"/>
        <charset val="1"/>
      </rPr>
      <t xml:space="preserve">import</t>
    </r>
    <r>
      <rPr>
        <sz val="10"/>
        <color rgb="FF222222"/>
        <rFont val="Noto Sans CJK SC"/>
        <family val="2"/>
      </rPr>
      <t xml:space="preserve">｜放行條件：</t>
    </r>
    <r>
      <rPr>
        <sz val="10"/>
        <color rgb="FF222222"/>
        <rFont val="Arial"/>
        <family val="0"/>
        <charset val="1"/>
      </rPr>
      <t xml:space="preserve">vCenter 9.1.1 </t>
    </r>
    <r>
      <rPr>
        <sz val="10"/>
        <color rgb="FF222222"/>
        <rFont val="Noto Sans CJK SC"/>
        <family val="2"/>
      </rPr>
      <t xml:space="preserve">正常、</t>
    </r>
    <r>
      <rPr>
        <sz val="10"/>
        <color rgb="FF222222"/>
        <rFont val="Arial"/>
        <family val="0"/>
        <charset val="1"/>
      </rPr>
      <t xml:space="preserve">SRM Test Recovery </t>
    </r>
    <r>
      <rPr>
        <sz val="10"/>
        <color rgb="FF222222"/>
        <rFont val="Noto Sans CJK SC"/>
        <family val="2"/>
      </rPr>
      <t xml:space="preserve">成功、</t>
    </r>
    <r>
      <rPr>
        <sz val="10"/>
        <color rgb="FF222222"/>
        <rFont val="Arial"/>
        <family val="0"/>
        <charset val="1"/>
      </rPr>
      <t xml:space="preserve">Compute Manager </t>
    </r>
    <r>
      <rPr>
        <sz val="10"/>
        <color rgb="FF222222"/>
        <rFont val="Noto Sans CJK SC"/>
        <family val="2"/>
      </rPr>
      <t xml:space="preserve">已註冊｜簽核：</t>
    </r>
    <r>
      <rPr>
        <sz val="10"/>
        <color rgb="FF222222"/>
        <rFont val="Arial"/>
        <family val="0"/>
        <charset val="1"/>
      </rPr>
      <t xml:space="preserve">PM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ARC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DR</t>
    </r>
  </si>
  <si>
    <t xml:space="preserve">G4 ⚠ PONR</t>
  </si>
  <si>
    <r>
      <rPr>
        <sz val="10"/>
        <color rgb="FF222222"/>
        <rFont val="Arial"/>
        <family val="0"/>
        <charset val="1"/>
      </rPr>
      <t xml:space="preserve">S13</t>
    </r>
    <r>
      <rPr>
        <sz val="10"/>
        <color rgb="FF222222"/>
        <rFont val="Noto Sans CJK SC"/>
        <family val="2"/>
      </rPr>
      <t xml:space="preserve">｜中信雲 </t>
    </r>
    <r>
      <rPr>
        <sz val="10"/>
        <color rgb="FF222222"/>
        <rFont val="Arial"/>
        <family val="0"/>
        <charset val="1"/>
      </rPr>
      <t xml:space="preserve">import</t>
    </r>
    <r>
      <rPr>
        <sz val="10"/>
        <color rgb="FF222222"/>
        <rFont val="Noto Sans CJK SC"/>
        <family val="2"/>
      </rPr>
      <t xml:space="preserve">｜放行條件：同 </t>
    </r>
    <r>
      <rPr>
        <sz val="10"/>
        <color rgb="FF222222"/>
        <rFont val="Arial"/>
        <family val="0"/>
        <charset val="1"/>
      </rPr>
      <t xml:space="preserve">G3</t>
    </r>
    <r>
      <rPr>
        <sz val="10"/>
        <color rgb="FF222222"/>
        <rFont val="Noto Sans CJK SC"/>
        <family val="2"/>
      </rPr>
      <t xml:space="preserve">｜簽核：</t>
    </r>
    <r>
      <rPr>
        <sz val="10"/>
        <color rgb="FF222222"/>
        <rFont val="Arial"/>
        <family val="0"/>
        <charset val="1"/>
      </rPr>
      <t xml:space="preserve">PM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ARC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DR</t>
    </r>
  </si>
  <si>
    <t xml:space="preserve">G5 ⚠ PONR</t>
  </si>
  <si>
    <r>
      <rPr>
        <sz val="10"/>
        <color rgb="FF222222"/>
        <rFont val="Arial"/>
        <family val="0"/>
        <charset val="1"/>
      </rPr>
      <t xml:space="preserve">S16</t>
    </r>
    <r>
      <rPr>
        <sz val="10"/>
        <color rgb="FF222222"/>
        <rFont val="Noto Sans CJK SC"/>
        <family val="2"/>
      </rPr>
      <t xml:space="preserve">｜</t>
    </r>
    <r>
      <rPr>
        <sz val="10"/>
        <color rgb="FF222222"/>
        <rFont val="Arial"/>
        <family val="0"/>
        <charset val="1"/>
      </rPr>
      <t xml:space="preserve">vSAN on-disk format</t>
    </r>
    <r>
      <rPr>
        <sz val="10"/>
        <color rgb="FF222222"/>
        <rFont val="Noto Sans CJK SC"/>
        <family val="2"/>
      </rPr>
      <t xml:space="preserve">｜放行條件：觀察期無重大事件、客戶簽核｜簽核：</t>
    </r>
    <r>
      <rPr>
        <sz val="10"/>
        <color rgb="FF222222"/>
        <rFont val="Arial"/>
        <family val="0"/>
        <charset val="1"/>
      </rPr>
      <t xml:space="preserve">PM</t>
    </r>
  </si>
  <si>
    <r>
      <rPr>
        <b val="true"/>
        <sz val="14"/>
        <color rgb="FF1B1D36"/>
        <rFont val="Noto Sans CJK SC"/>
        <family val="2"/>
      </rPr>
      <t xml:space="preserve">進度總覽（自動統計自『</t>
    </r>
    <r>
      <rPr>
        <b val="true"/>
        <sz val="14"/>
        <color rgb="FF1B1D36"/>
        <rFont val="Arial"/>
        <family val="0"/>
        <charset val="1"/>
      </rPr>
      <t xml:space="preserve">Checklist</t>
    </r>
    <r>
      <rPr>
        <b val="true"/>
        <sz val="14"/>
        <color rgb="FF1B1D36"/>
        <rFont val="Noto Sans CJK SC"/>
        <family val="2"/>
      </rPr>
      <t xml:space="preserve">』頁，請勿手改）</t>
    </r>
  </si>
  <si>
    <t xml:space="preserve">Step</t>
  </si>
  <si>
    <t xml:space="preserve">步驟</t>
  </si>
  <si>
    <t xml:space="preserve">階段</t>
  </si>
  <si>
    <t xml:space="preserve">項目數</t>
  </si>
  <si>
    <t xml:space="preserve">完成</t>
  </si>
  <si>
    <t xml:space="preserve">N/A</t>
  </si>
  <si>
    <t xml:space="preserve">失敗</t>
  </si>
  <si>
    <t xml:space="preserve">進行中</t>
  </si>
  <si>
    <t xml:space="preserve">完成率</t>
  </si>
  <si>
    <t xml:space="preserve">S00</t>
  </si>
  <si>
    <t xml:space="preserve">盤點、阻礙項排除與備份（新增）</t>
  </si>
  <si>
    <t xml:space="preserve">準備</t>
  </si>
  <si>
    <t xml:space="preserve">S01</t>
  </si>
  <si>
    <r>
      <rPr>
        <sz val="10"/>
        <color rgb="FF222222"/>
        <rFont val="Arial"/>
        <family val="0"/>
        <charset val="1"/>
      </rPr>
      <t xml:space="preserve">vRA / vRO </t>
    </r>
    <r>
      <rPr>
        <sz val="10"/>
        <color rgb="FF222222"/>
        <rFont val="Noto Sans CJK SC"/>
        <family val="2"/>
      </rPr>
      <t xml:space="preserve">冷遷移至 </t>
    </r>
    <r>
      <rPr>
        <sz val="10"/>
        <color rgb="FF222222"/>
        <rFont val="Arial"/>
        <family val="0"/>
        <charset val="1"/>
      </rPr>
      <t xml:space="preserve">Management Cluster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#1</t>
    </r>
    <r>
      <rPr>
        <sz val="10"/>
        <color rgb="FF222222"/>
        <rFont val="Noto Sans CJK SC"/>
        <family val="2"/>
      </rPr>
      <t xml:space="preserve">）</t>
    </r>
  </si>
  <si>
    <t xml:space="preserve">管理網域</t>
  </si>
  <si>
    <t xml:space="preserve">S02</t>
  </si>
  <si>
    <r>
      <rPr>
        <sz val="10"/>
        <color rgb="FF222222"/>
        <rFont val="Noto Sans CJK SC"/>
        <family val="2"/>
      </rPr>
      <t xml:space="preserve">部署 </t>
    </r>
    <r>
      <rPr>
        <sz val="10"/>
        <color rgb="FF222222"/>
        <rFont val="Arial"/>
        <family val="0"/>
        <charset val="1"/>
      </rPr>
      <t xml:space="preserve">VCF Installer 9.1.1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#3</t>
    </r>
    <r>
      <rPr>
        <sz val="10"/>
        <color rgb="FF222222"/>
        <rFont val="Noto Sans CJK SC"/>
        <family val="2"/>
      </rPr>
      <t xml:space="preserve">）</t>
    </r>
  </si>
  <si>
    <t xml:space="preserve">S03</t>
  </si>
  <si>
    <r>
      <rPr>
        <sz val="10"/>
        <color rgb="FF222222"/>
        <rFont val="Arial"/>
        <family val="0"/>
        <charset val="1"/>
      </rPr>
      <t xml:space="preserve">Depot </t>
    </r>
    <r>
      <rPr>
        <sz val="10"/>
        <color rgb="FF222222"/>
        <rFont val="Noto Sans CJK SC"/>
        <family val="2"/>
      </rPr>
      <t xml:space="preserve">與 </t>
    </r>
    <r>
      <rPr>
        <sz val="10"/>
        <color rgb="FF222222"/>
        <rFont val="Arial"/>
        <family val="0"/>
        <charset val="1"/>
      </rPr>
      <t xml:space="preserve">Binaries</t>
    </r>
    <r>
      <rPr>
        <sz val="10"/>
        <color rgb="FF222222"/>
        <rFont val="Noto Sans CJK SC"/>
        <family val="2"/>
      </rPr>
      <t xml:space="preserve">（回答「</t>
    </r>
    <r>
      <rPr>
        <sz val="10"/>
        <color rgb="FF222222"/>
        <rFont val="Arial"/>
        <family val="0"/>
        <charset val="1"/>
      </rPr>
      <t xml:space="preserve">Offline Depot???</t>
    </r>
    <r>
      <rPr>
        <sz val="10"/>
        <color rgb="FF222222"/>
        <rFont val="Noto Sans CJK SC"/>
        <family val="2"/>
      </rPr>
      <t xml:space="preserve">」）（</t>
    </r>
    <r>
      <rPr>
        <sz val="10"/>
        <color rgb="FF222222"/>
        <rFont val="Arial"/>
        <family val="0"/>
        <charset val="1"/>
      </rPr>
      <t xml:space="preserve">#4</t>
    </r>
    <r>
      <rPr>
        <sz val="10"/>
        <color rgb="FF222222"/>
        <rFont val="Noto Sans CJK SC"/>
        <family val="2"/>
      </rPr>
      <t xml:space="preserve">）</t>
    </r>
  </si>
  <si>
    <t xml:space="preserve">S04</t>
  </si>
  <si>
    <r>
      <rPr>
        <sz val="10"/>
        <color rgb="FF222222"/>
        <rFont val="Arial"/>
        <family val="0"/>
        <charset val="1"/>
      </rPr>
      <t xml:space="preserve">Management Cluster Converge </t>
    </r>
    <r>
      <rPr>
        <sz val="10"/>
        <color rgb="FF222222"/>
        <rFont val="Noto Sans CJK SC"/>
        <family val="2"/>
      </rPr>
      <t xml:space="preserve">成 </t>
    </r>
    <r>
      <rPr>
        <sz val="10"/>
        <color rgb="FF222222"/>
        <rFont val="Arial"/>
        <family val="0"/>
        <charset val="1"/>
      </rPr>
      <t xml:space="preserve">VCF 9.1.1 </t>
    </r>
    <r>
      <rPr>
        <sz val="10"/>
        <color rgb="FF222222"/>
        <rFont val="Noto Sans CJK SC"/>
        <family val="2"/>
      </rPr>
      <t xml:space="preserve">管理網域（</t>
    </r>
    <r>
      <rPr>
        <sz val="10"/>
        <color rgb="FF222222"/>
        <rFont val="Arial"/>
        <family val="0"/>
        <charset val="1"/>
      </rPr>
      <t xml:space="preserve">#5</t>
    </r>
    <r>
      <rPr>
        <sz val="10"/>
        <color rgb="FF222222"/>
        <rFont val="Noto Sans CJK SC"/>
        <family val="2"/>
      </rPr>
      <t xml:space="preserve">）</t>
    </r>
  </si>
  <si>
    <t xml:space="preserve">S05</t>
  </si>
  <si>
    <r>
      <rPr>
        <sz val="10"/>
        <color rgb="FF222222"/>
        <rFont val="Arial"/>
        <family val="0"/>
        <charset val="1"/>
      </rPr>
      <t xml:space="preserve">vRA </t>
    </r>
    <r>
      <rPr>
        <sz val="10"/>
        <color rgb="FF222222"/>
        <rFont val="Noto Sans CJK SC"/>
        <family val="2"/>
      </rPr>
      <t xml:space="preserve">匯入 </t>
    </r>
    <r>
      <rPr>
        <sz val="10"/>
        <color rgb="FF222222"/>
        <rFont val="Arial"/>
        <family val="0"/>
        <charset val="1"/>
      </rPr>
      <t xml:space="preserve">VCF Operations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Fleet Lifecycle</t>
    </r>
    <r>
      <rPr>
        <sz val="10"/>
        <color rgb="FF222222"/>
        <rFont val="Noto Sans CJK SC"/>
        <family val="2"/>
      </rPr>
      <t xml:space="preserve">）（</t>
    </r>
    <r>
      <rPr>
        <sz val="10"/>
        <color rgb="FF222222"/>
        <rFont val="Arial"/>
        <family val="0"/>
        <charset val="1"/>
      </rPr>
      <t xml:space="preserve">#6</t>
    </r>
    <r>
      <rPr>
        <sz val="10"/>
        <color rgb="FF222222"/>
        <rFont val="Noto Sans CJK SC"/>
        <family val="2"/>
      </rPr>
      <t xml:space="preserve">）</t>
    </r>
  </si>
  <si>
    <t xml:space="preserve">S06</t>
  </si>
  <si>
    <r>
      <rPr>
        <sz val="10"/>
        <color rgb="FF222222"/>
        <rFont val="Arial"/>
        <family val="0"/>
        <charset val="1"/>
      </rPr>
      <t xml:space="preserve">vRA 8.18 → VCF Automation 9.1.1</t>
    </r>
    <r>
      <rPr>
        <sz val="10"/>
        <color rgb="FF222222"/>
        <rFont val="Noto Sans CJK SC"/>
        <family val="2"/>
      </rPr>
      <t xml:space="preserve">（藍綠升級）（</t>
    </r>
    <r>
      <rPr>
        <sz val="10"/>
        <color rgb="FF222222"/>
        <rFont val="Arial"/>
        <family val="0"/>
        <charset val="1"/>
      </rPr>
      <t xml:space="preserve">#7</t>
    </r>
    <r>
      <rPr>
        <sz val="10"/>
        <color rgb="FF222222"/>
        <rFont val="Noto Sans CJK SC"/>
        <family val="2"/>
      </rPr>
      <t xml:space="preserve">）</t>
    </r>
  </si>
  <si>
    <t xml:space="preserve">S07</t>
  </si>
  <si>
    <r>
      <rPr>
        <sz val="10"/>
        <color rgb="FF222222"/>
        <rFont val="Noto Sans CJK SC"/>
        <family val="2"/>
      </rPr>
      <t xml:space="preserve">整合雲 </t>
    </r>
    <r>
      <rPr>
        <sz val="10"/>
        <color rgb="FF222222"/>
        <rFont val="Arial"/>
        <family val="0"/>
        <charset val="1"/>
      </rPr>
      <t xml:space="preserve">vCenter 8.0.3 → 9.1.1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RDU</t>
    </r>
    <r>
      <rPr>
        <sz val="10"/>
        <color rgb="FF222222"/>
        <rFont val="Noto Sans CJK SC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import </t>
    </r>
    <r>
      <rPr>
        <sz val="10"/>
        <color rgb="FF222222"/>
        <rFont val="Noto Sans CJK SC"/>
        <family val="2"/>
      </rPr>
      <t xml:space="preserve">前）（</t>
    </r>
    <r>
      <rPr>
        <sz val="10"/>
        <color rgb="FF222222"/>
        <rFont val="Arial"/>
        <family val="0"/>
        <charset val="1"/>
      </rPr>
      <t xml:space="preserve">#10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vCenter</t>
    </r>
    <r>
      <rPr>
        <sz val="10"/>
        <color rgb="FF222222"/>
        <rFont val="Noto Sans CJK SC"/>
        <family val="2"/>
      </rPr>
      <t xml:space="preserve">））</t>
    </r>
  </si>
  <si>
    <t xml:space="preserve">整合雲</t>
  </si>
  <si>
    <t xml:space="preserve">S08</t>
  </si>
  <si>
    <r>
      <rPr>
        <sz val="10"/>
        <color rgb="FF222222"/>
        <rFont val="Noto Sans CJK SC"/>
        <family val="2"/>
      </rPr>
      <t xml:space="preserve">整合雲 </t>
    </r>
    <r>
      <rPr>
        <sz val="10"/>
        <color rgb="FF222222"/>
        <rFont val="Arial"/>
        <family val="0"/>
        <charset val="1"/>
      </rPr>
      <t xml:space="preserve">vCenter </t>
    </r>
    <r>
      <rPr>
        <sz val="10"/>
        <color rgb="FF222222"/>
        <rFont val="Noto Sans CJK SC"/>
        <family val="2"/>
      </rPr>
      <t xml:space="preserve">升級後 </t>
    </r>
    <r>
      <rPr>
        <sz val="10"/>
        <color rgb="FF222222"/>
        <rFont val="Arial"/>
        <family val="0"/>
        <charset val="1"/>
      </rPr>
      <t xml:space="preserve">SRM </t>
    </r>
    <r>
      <rPr>
        <sz val="10"/>
        <color rgb="FF222222"/>
        <rFont val="Noto Sans CJK SC"/>
        <family val="2"/>
      </rPr>
      <t xml:space="preserve">重新註冊（</t>
    </r>
    <r>
      <rPr>
        <sz val="10"/>
        <color rgb="FF222222"/>
        <rFont val="Arial"/>
        <family val="0"/>
        <charset val="1"/>
      </rPr>
      <t xml:space="preserve">#11</t>
    </r>
    <r>
      <rPr>
        <sz val="10"/>
        <color rgb="FF222222"/>
        <rFont val="Noto Sans CJK SC"/>
        <family val="2"/>
      </rPr>
      <t xml:space="preserve">）</t>
    </r>
  </si>
  <si>
    <t xml:space="preserve">S09</t>
  </si>
  <si>
    <r>
      <rPr>
        <sz val="10"/>
        <color rgb="FF222222"/>
        <rFont val="Noto Sans CJK SC"/>
        <family val="2"/>
      </rPr>
      <t xml:space="preserve">整合雲 匯入為 </t>
    </r>
    <r>
      <rPr>
        <sz val="10"/>
        <color rgb="FF222222"/>
        <rFont val="Arial"/>
        <family val="0"/>
        <charset val="1"/>
      </rPr>
      <t xml:space="preserve">VI Workload Domain</t>
    </r>
    <r>
      <rPr>
        <sz val="10"/>
        <color rgb="FF222222"/>
        <rFont val="Noto Sans CJK SC"/>
        <family val="2"/>
      </rPr>
      <t xml:space="preserve">（共用管理網域 </t>
    </r>
    <r>
      <rPr>
        <sz val="10"/>
        <color rgb="FF222222"/>
        <rFont val="Arial"/>
        <family val="0"/>
        <charset val="1"/>
      </rPr>
      <t xml:space="preserve">NSX 9.1.1</t>
    </r>
    <r>
      <rPr>
        <sz val="10"/>
        <color rgb="FF222222"/>
        <rFont val="Noto Sans CJK SC"/>
        <family val="2"/>
      </rPr>
      <t xml:space="preserve">）（</t>
    </r>
    <r>
      <rPr>
        <sz val="10"/>
        <color rgb="FF222222"/>
        <rFont val="Arial"/>
        <family val="0"/>
        <charset val="1"/>
      </rPr>
      <t xml:space="preserve">#8</t>
    </r>
    <r>
      <rPr>
        <sz val="10"/>
        <color rgb="FF222222"/>
        <rFont val="Noto Sans CJK SC"/>
        <family val="2"/>
      </rPr>
      <t xml:space="preserve">）</t>
    </r>
  </si>
  <si>
    <t xml:space="preserve">S10</t>
  </si>
  <si>
    <r>
      <rPr>
        <sz val="10"/>
        <color rgb="FF222222"/>
        <rFont val="Noto Sans CJK SC"/>
        <family val="2"/>
      </rPr>
      <t xml:space="preserve">整合雲 </t>
    </r>
    <r>
      <rPr>
        <sz val="10"/>
        <color rgb="FF222222"/>
        <rFont val="Arial"/>
        <family val="0"/>
        <charset val="1"/>
      </rPr>
      <t xml:space="preserve">ESXi 8.0.3 → 9.1.1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VCF LCM / vLCM image</t>
    </r>
    <r>
      <rPr>
        <sz val="10"/>
        <color rgb="FF222222"/>
        <rFont val="Noto Sans CJK SC"/>
        <family val="2"/>
      </rPr>
      <t xml:space="preserve">）（</t>
    </r>
    <r>
      <rPr>
        <sz val="10"/>
        <color rgb="FF222222"/>
        <rFont val="Arial"/>
        <family val="0"/>
        <charset val="1"/>
      </rPr>
      <t xml:space="preserve">#10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ESXi</t>
    </r>
    <r>
      <rPr>
        <sz val="10"/>
        <color rgb="FF222222"/>
        <rFont val="Noto Sans CJK SC"/>
        <family val="2"/>
      </rPr>
      <t xml:space="preserve">））</t>
    </r>
  </si>
  <si>
    <t xml:space="preserve">S11</t>
  </si>
  <si>
    <r>
      <rPr>
        <sz val="10"/>
        <color rgb="FF222222"/>
        <rFont val="Noto Sans CJK SC"/>
        <family val="2"/>
      </rPr>
      <t xml:space="preserve">中信雲 </t>
    </r>
    <r>
      <rPr>
        <sz val="10"/>
        <color rgb="FF222222"/>
        <rFont val="Arial"/>
        <family val="0"/>
        <charset val="1"/>
      </rPr>
      <t xml:space="preserve">vCenter 8.0.3 → 9.1.1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RDU</t>
    </r>
    <r>
      <rPr>
        <sz val="10"/>
        <color rgb="FF222222"/>
        <rFont val="Noto Sans CJK SC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import </t>
    </r>
    <r>
      <rPr>
        <sz val="10"/>
        <color rgb="FF222222"/>
        <rFont val="Noto Sans CJK SC"/>
        <family val="2"/>
      </rPr>
      <t xml:space="preserve">前）（</t>
    </r>
    <r>
      <rPr>
        <sz val="10"/>
        <color rgb="FF222222"/>
        <rFont val="Arial"/>
        <family val="0"/>
        <charset val="1"/>
      </rPr>
      <t xml:space="preserve">#12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vCenter</t>
    </r>
    <r>
      <rPr>
        <sz val="10"/>
        <color rgb="FF222222"/>
        <rFont val="Noto Sans CJK SC"/>
        <family val="2"/>
      </rPr>
      <t xml:space="preserve">））</t>
    </r>
  </si>
  <si>
    <t xml:space="preserve">中信雲</t>
  </si>
  <si>
    <t xml:space="preserve">S12</t>
  </si>
  <si>
    <r>
      <rPr>
        <sz val="10"/>
        <color rgb="FF222222"/>
        <rFont val="Noto Sans CJK SC"/>
        <family val="2"/>
      </rPr>
      <t xml:space="preserve">中信雲 </t>
    </r>
    <r>
      <rPr>
        <sz val="10"/>
        <color rgb="FF222222"/>
        <rFont val="Arial"/>
        <family val="0"/>
        <charset val="1"/>
      </rPr>
      <t xml:space="preserve">vCenter </t>
    </r>
    <r>
      <rPr>
        <sz val="10"/>
        <color rgb="FF222222"/>
        <rFont val="Noto Sans CJK SC"/>
        <family val="2"/>
      </rPr>
      <t xml:space="preserve">升級後 </t>
    </r>
    <r>
      <rPr>
        <sz val="10"/>
        <color rgb="FF222222"/>
        <rFont val="Arial"/>
        <family val="0"/>
        <charset val="1"/>
      </rPr>
      <t xml:space="preserve">SRM </t>
    </r>
    <r>
      <rPr>
        <sz val="10"/>
        <color rgb="FF222222"/>
        <rFont val="Noto Sans CJK SC"/>
        <family val="2"/>
      </rPr>
      <t xml:space="preserve">重新註冊（</t>
    </r>
    <r>
      <rPr>
        <sz val="10"/>
        <color rgb="FF222222"/>
        <rFont val="Arial"/>
        <family val="0"/>
        <charset val="1"/>
      </rPr>
      <t xml:space="preserve">#13</t>
    </r>
    <r>
      <rPr>
        <sz val="10"/>
        <color rgb="FF222222"/>
        <rFont val="Noto Sans CJK SC"/>
        <family val="2"/>
      </rPr>
      <t xml:space="preserve">）</t>
    </r>
  </si>
  <si>
    <t xml:space="preserve">S13</t>
  </si>
  <si>
    <r>
      <rPr>
        <sz val="10"/>
        <color rgb="FF222222"/>
        <rFont val="Noto Sans CJK SC"/>
        <family val="2"/>
      </rPr>
      <t xml:space="preserve">中信雲 匯入為 </t>
    </r>
    <r>
      <rPr>
        <sz val="10"/>
        <color rgb="FF222222"/>
        <rFont val="Arial"/>
        <family val="0"/>
        <charset val="1"/>
      </rPr>
      <t xml:space="preserve">VI Workload Domain</t>
    </r>
    <r>
      <rPr>
        <sz val="10"/>
        <color rgb="FF222222"/>
        <rFont val="Noto Sans CJK SC"/>
        <family val="2"/>
      </rPr>
      <t xml:space="preserve">（共用管理網域 </t>
    </r>
    <r>
      <rPr>
        <sz val="10"/>
        <color rgb="FF222222"/>
        <rFont val="Arial"/>
        <family val="0"/>
        <charset val="1"/>
      </rPr>
      <t xml:space="preserve">NSX 9.1.1</t>
    </r>
    <r>
      <rPr>
        <sz val="10"/>
        <color rgb="FF222222"/>
        <rFont val="Noto Sans CJK SC"/>
        <family val="2"/>
      </rPr>
      <t xml:space="preserve">）（</t>
    </r>
    <r>
      <rPr>
        <sz val="10"/>
        <color rgb="FF222222"/>
        <rFont val="Arial"/>
        <family val="0"/>
        <charset val="1"/>
      </rPr>
      <t xml:space="preserve">#9</t>
    </r>
    <r>
      <rPr>
        <sz val="10"/>
        <color rgb="FF222222"/>
        <rFont val="Noto Sans CJK SC"/>
        <family val="2"/>
      </rPr>
      <t xml:space="preserve">）</t>
    </r>
  </si>
  <si>
    <t xml:space="preserve">S14</t>
  </si>
  <si>
    <r>
      <rPr>
        <sz val="10"/>
        <color rgb="FF222222"/>
        <rFont val="Noto Sans CJK SC"/>
        <family val="2"/>
      </rPr>
      <t xml:space="preserve">中信雲 </t>
    </r>
    <r>
      <rPr>
        <sz val="10"/>
        <color rgb="FF222222"/>
        <rFont val="Arial"/>
        <family val="0"/>
        <charset val="1"/>
      </rPr>
      <t xml:space="preserve">ESXi 8.0.3 → 9.1.1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VCF LCM / vLCM image</t>
    </r>
    <r>
      <rPr>
        <sz val="10"/>
        <color rgb="FF222222"/>
        <rFont val="Noto Sans CJK SC"/>
        <family val="2"/>
      </rPr>
      <t xml:space="preserve">）（</t>
    </r>
    <r>
      <rPr>
        <sz val="10"/>
        <color rgb="FF222222"/>
        <rFont val="Arial"/>
        <family val="0"/>
        <charset val="1"/>
      </rPr>
      <t xml:space="preserve">#12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ESXi</t>
    </r>
    <r>
      <rPr>
        <sz val="10"/>
        <color rgb="FF222222"/>
        <rFont val="Noto Sans CJK SC"/>
        <family val="2"/>
      </rPr>
      <t xml:space="preserve">））</t>
    </r>
  </si>
  <si>
    <t xml:space="preserve">S15</t>
  </si>
  <si>
    <r>
      <rPr>
        <sz val="10"/>
        <color rgb="FF222222"/>
        <rFont val="Arial"/>
        <family val="0"/>
        <charset val="1"/>
      </rPr>
      <t xml:space="preserve">vRO → VCF Operations orchestrator 9.1.1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VCFA </t>
    </r>
    <r>
      <rPr>
        <sz val="10"/>
        <color rgb="FF222222"/>
        <rFont val="Noto Sans CJK SC"/>
        <family val="2"/>
      </rPr>
      <t xml:space="preserve">之後）（</t>
    </r>
    <r>
      <rPr>
        <sz val="10"/>
        <color rgb="FF222222"/>
        <rFont val="Arial"/>
        <family val="0"/>
        <charset val="1"/>
      </rPr>
      <t xml:space="preserve">#2</t>
    </r>
    <r>
      <rPr>
        <sz val="10"/>
        <color rgb="FF222222"/>
        <rFont val="Noto Sans CJK SC"/>
        <family val="2"/>
      </rPr>
      <t xml:space="preserve">（移到最後））</t>
    </r>
  </si>
  <si>
    <t xml:space="preserve">收尾</t>
  </si>
  <si>
    <t xml:space="preserve">S16</t>
  </si>
  <si>
    <r>
      <rPr>
        <sz val="10"/>
        <color rgb="FF222222"/>
        <rFont val="Noto Sans CJK SC"/>
        <family val="2"/>
      </rPr>
      <t xml:space="preserve">觀察期、</t>
    </r>
    <r>
      <rPr>
        <sz val="10"/>
        <color rgb="FF222222"/>
        <rFont val="Arial"/>
        <family val="0"/>
        <charset val="1"/>
      </rPr>
      <t xml:space="preserve">vSAN on-disk format </t>
    </r>
    <r>
      <rPr>
        <sz val="10"/>
        <color rgb="FF222222"/>
        <rFont val="Noto Sans CJK SC"/>
        <family val="2"/>
      </rPr>
      <t xml:space="preserve">與收尾（新增）</t>
    </r>
  </si>
  <si>
    <t xml:space="preserve">合計</t>
  </si>
  <si>
    <r>
      <rPr>
        <sz val="9"/>
        <color rgb="FF717074"/>
        <rFont val="Noto Sans CJK SC"/>
        <family val="2"/>
      </rPr>
      <t xml:space="preserve">完成率 </t>
    </r>
    <r>
      <rPr>
        <sz val="9"/>
        <color rgb="FF717074"/>
        <rFont val="Arial"/>
        <family val="0"/>
        <charset val="1"/>
      </rPr>
      <t xml:space="preserve">=</t>
    </r>
    <r>
      <rPr>
        <sz val="9"/>
        <color rgb="FF717074"/>
        <rFont val="Noto Sans CJK SC"/>
        <family val="2"/>
      </rPr>
      <t xml:space="preserve">（完成 </t>
    </r>
    <r>
      <rPr>
        <sz val="9"/>
        <color rgb="FF717074"/>
        <rFont val="Arial"/>
        <family val="0"/>
        <charset val="1"/>
      </rPr>
      <t xml:space="preserve">+ N/A</t>
    </r>
    <r>
      <rPr>
        <sz val="9"/>
        <color rgb="FF717074"/>
        <rFont val="Noto Sans CJK SC"/>
        <family val="2"/>
      </rPr>
      <t xml:space="preserve">）</t>
    </r>
    <r>
      <rPr>
        <sz val="9"/>
        <color rgb="FF717074"/>
        <rFont val="Arial"/>
        <family val="0"/>
        <charset val="1"/>
      </rPr>
      <t xml:space="preserve">÷ </t>
    </r>
    <r>
      <rPr>
        <sz val="9"/>
        <color rgb="FF717074"/>
        <rFont val="Noto Sans CJK SC"/>
        <family val="2"/>
      </rPr>
      <t xml:space="preserve">項目數；『失敗』不算完成，須依該步『退版』列處理後重做。</t>
    </r>
  </si>
  <si>
    <r>
      <rPr>
        <b val="true"/>
        <sz val="14"/>
        <color rgb="FF1B1D36"/>
        <rFont val="Noto Sans CJK SC"/>
        <family val="2"/>
      </rPr>
      <t xml:space="preserve">每一步 </t>
    </r>
    <r>
      <rPr>
        <b val="true"/>
        <sz val="14"/>
        <color rgb="FF1B1D36"/>
        <rFont val="Arial"/>
        <family val="0"/>
        <charset val="1"/>
      </rPr>
      <t xml:space="preserve">Checklist</t>
    </r>
    <r>
      <rPr>
        <b val="true"/>
        <sz val="14"/>
        <color rgb="FF1B1D36"/>
        <rFont val="Noto Sans CJK SC"/>
        <family val="2"/>
      </rPr>
      <t xml:space="preserve">（方案 </t>
    </r>
    <r>
      <rPr>
        <b val="true"/>
        <sz val="14"/>
        <color rgb="FF1B1D36"/>
        <rFont val="Arial"/>
        <family val="0"/>
        <charset val="1"/>
      </rPr>
      <t xml:space="preserve">B</t>
    </r>
    <r>
      <rPr>
        <b val="true"/>
        <sz val="14"/>
        <color rgb="FF1B1D36"/>
        <rFont val="Noto Sans CJK SC"/>
        <family val="2"/>
      </rPr>
      <t xml:space="preserve">）</t>
    </r>
  </si>
  <si>
    <t xml:space="preserve">黃底欄位由執行人填寫；狀態請用下拉選單</t>
  </si>
  <si>
    <t xml:space="preserve">原計畫</t>
  </si>
  <si>
    <t xml:space="preserve">#</t>
  </si>
  <si>
    <t xml:space="preserve">檢查項目</t>
  </si>
  <si>
    <r>
      <rPr>
        <b val="true"/>
        <sz val="10"/>
        <color rgb="FFFFFFFF"/>
        <rFont val="Noto Sans CJK SC"/>
        <family val="2"/>
      </rPr>
      <t xml:space="preserve">指令 </t>
    </r>
    <r>
      <rPr>
        <b val="true"/>
        <sz val="10"/>
        <color rgb="FFFFFFFF"/>
        <rFont val="Arial"/>
        <family val="0"/>
        <charset val="1"/>
      </rPr>
      <t xml:space="preserve">/ UI </t>
    </r>
    <r>
      <rPr>
        <b val="true"/>
        <sz val="10"/>
        <color rgb="FFFFFFFF"/>
        <rFont val="Noto Sans CJK SC"/>
        <family val="2"/>
      </rPr>
      <t xml:space="preserve">路徑</t>
    </r>
  </si>
  <si>
    <t xml:space="preserve">預期結果</t>
  </si>
  <si>
    <t xml:space="preserve">依據</t>
  </si>
  <si>
    <t xml:space="preserve">負責</t>
  </si>
  <si>
    <t xml:space="preserve">狀態</t>
  </si>
  <si>
    <t xml:space="preserve">執行人</t>
  </si>
  <si>
    <t xml:space="preserve">完成時間</t>
  </si>
  <si>
    <r>
      <rPr>
        <b val="true"/>
        <sz val="10"/>
        <color rgb="FFFFFFFF"/>
        <rFont val="Noto Sans CJK SC"/>
        <family val="2"/>
      </rPr>
      <t xml:space="preserve">證據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截圖</t>
    </r>
  </si>
  <si>
    <t xml:space="preserve">備註</t>
  </si>
  <si>
    <t xml:space="preserve">新增</t>
  </si>
  <si>
    <r>
      <rPr>
        <b val="true"/>
        <sz val="10.5"/>
        <color rgb="FFFFFFFF"/>
        <rFont val="Arial"/>
        <family val="0"/>
        <charset val="1"/>
      </rPr>
      <t xml:space="preserve">S00</t>
    </r>
    <r>
      <rPr>
        <b val="true"/>
        <sz val="10.5"/>
        <color rgb="FFFFFFFF"/>
        <rFont val="Noto Sans CJK SC"/>
        <family val="2"/>
      </rPr>
      <t xml:space="preserve">｜</t>
    </r>
    <r>
      <rPr>
        <b val="true"/>
        <sz val="10.5"/>
        <color rgb="FFFFFFFF"/>
        <rFont val="Arial"/>
        <family val="0"/>
        <charset val="1"/>
      </rPr>
      <t xml:space="preserve">Inventory, Blockers &amp; Backups</t>
    </r>
    <r>
      <rPr>
        <b val="true"/>
        <sz val="10.5"/>
        <color rgb="FFFFFFFF"/>
        <rFont val="Noto Sans CJK SC"/>
        <family val="2"/>
      </rPr>
      <t xml:space="preserve">｜盤點、阻礙項排除與備份｜</t>
    </r>
    <r>
      <rPr>
        <b val="true"/>
        <sz val="10.5"/>
        <color rgb="FFFFFFFF"/>
        <rFont val="Arial"/>
        <family val="0"/>
        <charset val="1"/>
      </rPr>
      <t xml:space="preserve">G0 Gate</t>
    </r>
    <r>
      <rPr>
        <b val="true"/>
        <sz val="10.5"/>
        <color rgb="FFFFFFFF"/>
        <rFont val="Noto Sans CJK SC"/>
        <family val="2"/>
      </rPr>
      <t xml:space="preserve">｜負責：</t>
    </r>
    <r>
      <rPr>
        <b val="true"/>
        <sz val="10.5"/>
        <color rgb="FFFFFFFF"/>
        <rFont val="Arial"/>
        <family val="0"/>
        <charset val="1"/>
      </rPr>
      <t xml:space="preserve">ARC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ENG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SYS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NET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DR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AUTO</t>
    </r>
  </si>
  <si>
    <t xml:space="preserve">前置檢查</t>
  </si>
  <si>
    <t xml:space="preserve">S00-01</t>
  </si>
  <si>
    <r>
      <rPr>
        <sz val="10"/>
        <color rgb="FF222222"/>
        <rFont val="Arial"/>
        <family val="0"/>
        <charset val="1"/>
      </rPr>
      <t xml:space="preserve">vRA </t>
    </r>
    <r>
      <rPr>
        <sz val="10"/>
        <color rgb="FF222222"/>
        <rFont val="Noto Sans CJK SC"/>
        <family val="2"/>
      </rPr>
      <t xml:space="preserve">確切版本 ≥ </t>
    </r>
    <r>
      <rPr>
        <sz val="10"/>
        <color rgb="FF222222"/>
        <rFont val="Arial"/>
        <family val="0"/>
        <charset val="1"/>
      </rPr>
      <t xml:space="preserve">8.18.1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converge </t>
    </r>
    <r>
      <rPr>
        <sz val="10"/>
        <color rgb="FF222222"/>
        <rFont val="Noto Sans CJK SC"/>
        <family val="2"/>
      </rPr>
      <t xml:space="preserve">情境頁要求 </t>
    </r>
    <r>
      <rPr>
        <sz val="10"/>
        <color rgb="FF222222"/>
        <rFont val="Arial"/>
        <family val="0"/>
        <charset val="1"/>
      </rPr>
      <t xml:space="preserve">8.18.1 Patch 3</t>
    </r>
    <r>
      <rPr>
        <sz val="10"/>
        <color rgb="FF222222"/>
        <rFont val="Noto Sans CJK SC"/>
        <family val="2"/>
      </rPr>
      <t xml:space="preserve">，建議以 </t>
    </r>
    <r>
      <rPr>
        <sz val="10"/>
        <color rgb="FF222222"/>
        <rFont val="Arial"/>
        <family val="0"/>
        <charset val="1"/>
      </rPr>
      <t xml:space="preserve">P3 </t>
    </r>
    <r>
      <rPr>
        <sz val="10"/>
        <color rgb="FF222222"/>
        <rFont val="Noto Sans CJK SC"/>
        <family val="2"/>
      </rPr>
      <t xml:space="preserve">為基準）</t>
    </r>
  </si>
  <si>
    <r>
      <rPr>
        <sz val="9.5"/>
        <color rgb="FF222222"/>
        <rFont val="Arial"/>
        <family val="0"/>
        <charset val="1"/>
      </rPr>
      <t xml:space="preserve">vRA </t>
    </r>
    <r>
      <rPr>
        <sz val="9.5"/>
        <color rgb="FF222222"/>
        <rFont val="Noto Sans CJK SC"/>
        <family val="2"/>
      </rPr>
      <t xml:space="preserve">主節點：</t>
    </r>
    <r>
      <rPr>
        <sz val="9.5"/>
        <color rgb="FF222222"/>
        <rFont val="Arial"/>
        <family val="0"/>
        <charset val="1"/>
      </rPr>
      <t xml:space="preserve">vracli version</t>
    </r>
  </si>
  <si>
    <t xml:space="preserve">≥ 8.18.1 P3</t>
  </si>
  <si>
    <r>
      <rPr>
        <sz val="9.5"/>
        <color rgb="FF222222"/>
        <rFont val="Arial"/>
        <family val="0"/>
        <charset val="1"/>
      </rPr>
      <t xml:space="preserve">TechDocs: Import an Existing VMware Aria Automation Instance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Converge … Aria Automation </t>
    </r>
    <r>
      <rPr>
        <sz val="9.5"/>
        <color rgb="FF222222"/>
        <rFont val="Noto Sans CJK SC"/>
        <family val="2"/>
      </rPr>
      <t xml:space="preserve">情境頁</t>
    </r>
  </si>
  <si>
    <t xml:space="preserve">AUTO</t>
  </si>
  <si>
    <t xml:space="preserve">未開始</t>
  </si>
  <si>
    <t xml:space="preserve">S00-02</t>
  </si>
  <si>
    <r>
      <rPr>
        <sz val="10"/>
        <color rgb="FF222222"/>
        <rFont val="Arial"/>
        <family val="0"/>
        <charset val="1"/>
      </rPr>
      <t xml:space="preserve">vRO </t>
    </r>
    <r>
      <rPr>
        <sz val="10"/>
        <color rgb="FF222222"/>
        <rFont val="Noto Sans CJK SC"/>
        <family val="2"/>
      </rPr>
      <t xml:space="preserve">實際版本（「</t>
    </r>
    <r>
      <rPr>
        <sz val="10"/>
        <color rgb="FF222222"/>
        <rFont val="Arial"/>
        <family val="0"/>
        <charset val="1"/>
      </rPr>
      <t xml:space="preserve">8.18.7</t>
    </r>
    <r>
      <rPr>
        <sz val="10"/>
        <color rgb="FF222222"/>
        <rFont val="Noto Sans CJK SC"/>
        <family val="2"/>
      </rPr>
      <t xml:space="preserve">」在 </t>
    </r>
    <r>
      <rPr>
        <sz val="10"/>
        <color rgb="FF222222"/>
        <rFont val="Arial"/>
        <family val="0"/>
        <charset val="1"/>
      </rPr>
      <t xml:space="preserve">Broadcom </t>
    </r>
    <r>
      <rPr>
        <sz val="10"/>
        <color rgb="FF222222"/>
        <rFont val="Noto Sans CJK SC"/>
        <family val="2"/>
      </rPr>
      <t xml:space="preserve">查無此 </t>
    </r>
    <r>
      <rPr>
        <sz val="10"/>
        <color rgb="FF222222"/>
        <rFont val="Arial"/>
        <family val="0"/>
        <charset val="1"/>
      </rPr>
      <t xml:space="preserve">Orchestrator </t>
    </r>
    <r>
      <rPr>
        <sz val="10"/>
        <color rgb="FF222222"/>
        <rFont val="Noto Sans CJK SC"/>
        <family val="2"/>
      </rPr>
      <t xml:space="preserve">版號，需現場確認）且 ≥ </t>
    </r>
    <r>
      <rPr>
        <sz val="10"/>
        <color rgb="FF222222"/>
        <rFont val="Arial"/>
        <family val="0"/>
        <charset val="1"/>
      </rPr>
      <t xml:space="preserve">8.18.1</t>
    </r>
  </si>
  <si>
    <r>
      <rPr>
        <sz val="9.5"/>
        <color rgb="FF222222"/>
        <rFont val="Arial"/>
        <family val="0"/>
        <charset val="1"/>
      </rPr>
      <t xml:space="preserve">vRO</t>
    </r>
    <r>
      <rPr>
        <sz val="9.5"/>
        <color rgb="FF222222"/>
        <rFont val="Noto Sans CJK SC"/>
        <family val="2"/>
      </rPr>
      <t xml:space="preserve">：</t>
    </r>
    <r>
      <rPr>
        <sz val="9.5"/>
        <color rgb="FF222222"/>
        <rFont val="Arial"/>
        <family val="0"/>
        <charset val="1"/>
      </rPr>
      <t xml:space="preserve">vracli version</t>
    </r>
  </si>
  <si>
    <t xml:space="preserve">≥ 8.18.1</t>
  </si>
  <si>
    <t xml:space="preserve">TechDocs: Upgrade to VCF Operations Orchestrator 9.1</t>
  </si>
  <si>
    <t xml:space="preserve">S00-03</t>
  </si>
  <si>
    <r>
      <rPr>
        <sz val="10"/>
        <color rgb="FF222222"/>
        <rFont val="Arial"/>
        <family val="0"/>
        <charset val="1"/>
      </rPr>
      <t xml:space="preserve">vIDM / Aria Suite Lifecycle </t>
    </r>
    <r>
      <rPr>
        <sz val="10"/>
        <color rgb="FF222222"/>
        <rFont val="Noto Sans CJK SC"/>
        <family val="2"/>
      </rPr>
      <t xml:space="preserve">的版本與所在叢集（</t>
    </r>
    <r>
      <rPr>
        <sz val="10"/>
        <color rgb="FF222222"/>
        <rFont val="Arial"/>
        <family val="0"/>
        <charset val="1"/>
      </rPr>
      <t xml:space="preserve">vIDM </t>
    </r>
    <r>
      <rPr>
        <sz val="10"/>
        <color rgb="FF222222"/>
        <rFont val="Noto Sans CJK SC"/>
        <family val="2"/>
      </rPr>
      <t xml:space="preserve">升級後仍是 </t>
    </r>
    <r>
      <rPr>
        <sz val="10"/>
        <color rgb="FF222222"/>
        <rFont val="Arial"/>
        <family val="0"/>
        <charset val="1"/>
      </rPr>
      <t xml:space="preserve">VCFA 9.1 </t>
    </r>
    <r>
      <rPr>
        <sz val="10"/>
        <color rgb="FF222222"/>
        <rFont val="Noto Sans CJK SC"/>
        <family val="2"/>
      </rPr>
      <t xml:space="preserve">驗證來源，不可刪）</t>
    </r>
  </si>
  <si>
    <t xml:space="preserve">vSphere Client inventory</t>
  </si>
  <si>
    <t xml:space="preserve">已記錄</t>
  </si>
  <si>
    <t xml:space="preserve">TechDocs: Upgrading to VCF Automation 9.1</t>
  </si>
  <si>
    <t xml:space="preserve">S00-04</t>
  </si>
  <si>
    <r>
      <rPr>
        <sz val="10"/>
        <color rgb="FF222222"/>
        <rFont val="Noto Sans CJK SC"/>
        <family val="2"/>
      </rPr>
      <t xml:space="preserve">整合雲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CJK SC"/>
        <family val="2"/>
      </rPr>
      <t xml:space="preserve">中信雲 </t>
    </r>
    <r>
      <rPr>
        <sz val="10"/>
        <color rgb="FF222222"/>
        <rFont val="Arial"/>
        <family val="0"/>
        <charset val="1"/>
      </rPr>
      <t xml:space="preserve">vCenter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ESXi 8.0.3 </t>
    </r>
    <r>
      <rPr>
        <sz val="10"/>
        <color rgb="FF222222"/>
        <rFont val="Noto Sans CJK SC"/>
        <family val="2"/>
      </rPr>
      <t xml:space="preserve">確切 </t>
    </r>
    <r>
      <rPr>
        <sz val="10"/>
        <color rgb="FF222222"/>
        <rFont val="Arial"/>
        <family val="0"/>
        <charset val="1"/>
      </rPr>
      <t xml:space="preserve">build</t>
    </r>
    <r>
      <rPr>
        <sz val="10"/>
        <color rgb="FF222222"/>
        <rFont val="Noto Sans CJK SC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8.0U3j </t>
    </r>
    <r>
      <rPr>
        <sz val="10"/>
        <color rgb="FF222222"/>
        <rFont val="Noto Sans CJK SC"/>
        <family val="2"/>
      </rPr>
      <t xml:space="preserve">不可升 </t>
    </r>
    <r>
      <rPr>
        <sz val="10"/>
        <color rgb="FF222222"/>
        <rFont val="Arial"/>
        <family val="0"/>
        <charset val="1"/>
      </rPr>
      <t xml:space="preserve">9.1.0</t>
    </r>
    <r>
      <rPr>
        <sz val="10"/>
        <color rgb="FF222222"/>
        <rFont val="Noto Sans CJK SC"/>
        <family val="2"/>
      </rPr>
      <t xml:space="preserve">、可升 </t>
    </r>
    <r>
      <rPr>
        <sz val="10"/>
        <color rgb="FF222222"/>
        <rFont val="Arial"/>
        <family val="0"/>
        <charset val="1"/>
      </rPr>
      <t xml:space="preserve">9.1.1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8.0U3k </t>
    </r>
    <r>
      <rPr>
        <sz val="10"/>
        <color rgb="FF222222"/>
        <rFont val="Noto Sans CJK SC"/>
        <family val="2"/>
      </rPr>
      <t xml:space="preserve">須另查 </t>
    </r>
    <r>
      <rPr>
        <sz val="10"/>
        <color rgb="FF222222"/>
        <rFont val="Arial"/>
        <family val="0"/>
        <charset val="1"/>
      </rPr>
      <t xml:space="preserve">Interop Matrix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back-in-time</t>
    </r>
    <r>
      <rPr>
        <sz val="10"/>
        <color rgb="FF222222"/>
        <rFont val="Noto Sans CJK SC"/>
        <family val="2"/>
      </rPr>
      <t xml:space="preserve">）</t>
    </r>
  </si>
  <si>
    <r>
      <rPr>
        <sz val="9.5"/>
        <color rgb="FF222222"/>
        <rFont val="Arial"/>
        <family val="0"/>
        <charset val="1"/>
      </rPr>
      <t xml:space="preserve">VAMI Summary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esxcli system version get</t>
    </r>
  </si>
  <si>
    <r>
      <rPr>
        <sz val="10"/>
        <color rgb="FF222222"/>
        <rFont val="Noto Sans CJK SC"/>
        <family val="2"/>
      </rPr>
      <t xml:space="preserve">目標 </t>
    </r>
    <r>
      <rPr>
        <sz val="10"/>
        <color rgb="FF222222"/>
        <rFont val="Arial"/>
        <family val="0"/>
        <charset val="1"/>
      </rPr>
      <t xml:space="preserve">9.1.1 </t>
    </r>
    <r>
      <rPr>
        <sz val="10"/>
        <color rgb="FF222222"/>
        <rFont val="Noto Sans CJK SC"/>
        <family val="2"/>
      </rPr>
      <t xml:space="preserve">可行</t>
    </r>
  </si>
  <si>
    <r>
      <rPr>
        <sz val="9.5"/>
        <color rgb="FF222222"/>
        <rFont val="Arial"/>
        <family val="0"/>
        <charset val="1"/>
      </rPr>
      <t xml:space="preserve">KB 450972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TechDocs: Upgrading to VCF 9.1.x</t>
    </r>
  </si>
  <si>
    <t xml:space="preserve">SYS</t>
  </si>
  <si>
    <t xml:space="preserve">S00-05</t>
  </si>
  <si>
    <r>
      <rPr>
        <sz val="10"/>
        <color rgb="FF222222"/>
        <rFont val="Noto Sans CJK SC"/>
        <family val="2"/>
      </rPr>
      <t xml:space="preserve">三套 </t>
    </r>
    <r>
      <rPr>
        <sz val="10"/>
        <color rgb="FF222222"/>
        <rFont val="Arial"/>
        <family val="0"/>
        <charset val="1"/>
      </rPr>
      <t xml:space="preserve">vCenter </t>
    </r>
    <r>
      <rPr>
        <sz val="10"/>
        <color rgb="FF222222"/>
        <rFont val="Noto Sans CJK SC"/>
        <family val="2"/>
      </rPr>
      <t xml:space="preserve">皆無 </t>
    </r>
    <r>
      <rPr>
        <sz val="10"/>
        <color rgb="FF222222"/>
        <rFont val="Arial"/>
        <family val="0"/>
        <charset val="1"/>
      </rPr>
      <t xml:space="preserve">Enhanced Linked Mode</t>
    </r>
    <r>
      <rPr>
        <sz val="10"/>
        <color rgb="FF222222"/>
        <rFont val="Noto Sans CJK SC"/>
        <family val="2"/>
      </rPr>
      <t xml:space="preserve">（客戶 </t>
    </r>
    <r>
      <rPr>
        <sz val="10"/>
        <color rgb="FF222222"/>
        <rFont val="Arial"/>
        <family val="0"/>
        <charset val="1"/>
      </rPr>
      <t xml:space="preserve">2026-10-07 </t>
    </r>
    <r>
      <rPr>
        <sz val="10"/>
        <color rgb="FF222222"/>
        <rFont val="Noto Sans CJK SC"/>
        <family val="2"/>
      </rPr>
      <t xml:space="preserve">已確認）；另確認無 </t>
    </r>
    <r>
      <rPr>
        <sz val="10"/>
        <color rgb="FF222222"/>
        <rFont val="Arial"/>
        <family val="0"/>
        <charset val="1"/>
      </rPr>
      <t xml:space="preserve">vCenter HA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converge </t>
    </r>
    <r>
      <rPr>
        <sz val="10"/>
        <color rgb="FF222222"/>
        <rFont val="Noto Sans CJK SC"/>
        <family val="2"/>
      </rPr>
      <t xml:space="preserve">與 </t>
    </r>
    <r>
      <rPr>
        <sz val="10"/>
        <color rgb="FF222222"/>
        <rFont val="Arial"/>
        <family val="0"/>
        <charset val="1"/>
      </rPr>
      <t xml:space="preserve">import </t>
    </r>
    <r>
      <rPr>
        <sz val="10"/>
        <color rgb="FF222222"/>
        <rFont val="Noto Sans CJK SC"/>
        <family val="2"/>
      </rPr>
      <t xml:space="preserve">都不支援）</t>
    </r>
  </si>
  <si>
    <t xml:space="preserve">vSphere Client &gt; vCenter &gt; Configure &gt; vCenter HA</t>
  </si>
  <si>
    <r>
      <rPr>
        <sz val="10"/>
        <color rgb="FF222222"/>
        <rFont val="Noto Sans CJK SC"/>
        <family val="2"/>
      </rPr>
      <t xml:space="preserve">無 </t>
    </r>
    <r>
      <rPr>
        <sz val="10"/>
        <color rgb="FF222222"/>
        <rFont val="Arial"/>
        <family val="0"/>
        <charset val="1"/>
      </rPr>
      <t xml:space="preserve">ELM ✔</t>
    </r>
    <r>
      <rPr>
        <sz val="10"/>
        <color rgb="FF222222"/>
        <rFont val="Noto Sans CJK SC"/>
        <family val="2"/>
      </rPr>
      <t xml:space="preserve">、無 </t>
    </r>
    <r>
      <rPr>
        <sz val="10"/>
        <color rgb="FF222222"/>
        <rFont val="Arial"/>
        <family val="0"/>
        <charset val="1"/>
      </rPr>
      <t xml:space="preserve">VCHA</t>
    </r>
  </si>
  <si>
    <r>
      <rPr>
        <sz val="9.5"/>
        <color rgb="FF222222"/>
        <rFont val="Arial"/>
        <family val="0"/>
        <charset val="1"/>
      </rPr>
      <t xml:space="preserve">TechDocs: Supported and Not Supported Configurations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Import an Existing vCenter</t>
    </r>
  </si>
  <si>
    <t xml:space="preserve">S00-06</t>
  </si>
  <si>
    <r>
      <rPr>
        <sz val="10"/>
        <color rgb="FF222222"/>
        <rFont val="Noto Sans CJK SC"/>
        <family val="2"/>
      </rPr>
      <t xml:space="preserve">叢集條件：</t>
    </r>
    <r>
      <rPr>
        <sz val="10"/>
        <color rgb="FF222222"/>
        <rFont val="Arial"/>
        <family val="0"/>
        <charset val="1"/>
      </rPr>
      <t xml:space="preserve">vLCM image-based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DRS Fully Automated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VDS ≥ 8.0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vmk </t>
    </r>
    <r>
      <rPr>
        <sz val="10"/>
        <color rgb="FF222222"/>
        <rFont val="Noto Sans CJK SC"/>
        <family val="2"/>
      </rPr>
      <t xml:space="preserve">靜態 </t>
    </r>
    <r>
      <rPr>
        <sz val="10"/>
        <color rgb="FF222222"/>
        <rFont val="Arial"/>
        <family val="0"/>
        <charset val="1"/>
      </rPr>
      <t xml:space="preserve">IP</t>
    </r>
    <r>
      <rPr>
        <sz val="10"/>
        <color rgb="FF222222"/>
        <rFont val="Noto Sans CJK SC"/>
        <family val="2"/>
      </rPr>
      <t xml:space="preserve">、單一 </t>
    </r>
    <r>
      <rPr>
        <sz val="10"/>
        <color rgb="FF222222"/>
        <rFont val="Arial"/>
        <family val="0"/>
        <charset val="1"/>
      </rPr>
      <t xml:space="preserve">vMotion vmk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ESXi </t>
    </r>
    <r>
      <rPr>
        <sz val="10"/>
        <color rgb="FF222222"/>
        <rFont val="Noto Sans CJK SC"/>
        <family val="2"/>
      </rPr>
      <t xml:space="preserve">以 </t>
    </r>
    <r>
      <rPr>
        <sz val="10"/>
        <color rgb="FF222222"/>
        <rFont val="Arial"/>
        <family val="0"/>
        <charset val="1"/>
      </rPr>
      <t xml:space="preserve">FQDN </t>
    </r>
    <r>
      <rPr>
        <sz val="10"/>
        <color rgb="FF222222"/>
        <rFont val="Noto Sans CJK SC"/>
        <family val="2"/>
      </rPr>
      <t xml:space="preserve">加入 </t>
    </r>
    <r>
      <rPr>
        <sz val="10"/>
        <color rgb="FF222222"/>
        <rFont val="Arial"/>
        <family val="0"/>
        <charset val="1"/>
      </rPr>
      <t xml:space="preserve">inventory</t>
    </r>
  </si>
  <si>
    <r>
      <rPr>
        <sz val="9.5"/>
        <color rgb="FF222222"/>
        <rFont val="Arial"/>
        <family val="0"/>
        <charset val="1"/>
      </rPr>
      <t xml:space="preserve">Cluster &gt; Updates / DRS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Host &gt; VMkernel adapters</t>
    </r>
  </si>
  <si>
    <t xml:space="preserve">全部符合</t>
  </si>
  <si>
    <r>
      <rPr>
        <sz val="9.5"/>
        <color rgb="FF222222"/>
        <rFont val="Arial"/>
        <family val="0"/>
        <charset val="1"/>
      </rPr>
      <t xml:space="preserve">TechDocs: Supported and Not Supported Configurations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KB 425102</t>
    </r>
  </si>
  <si>
    <t xml:space="preserve">S00-07</t>
  </si>
  <si>
    <r>
      <rPr>
        <sz val="10"/>
        <color rgb="FF222222"/>
        <rFont val="Arial"/>
        <family val="0"/>
        <charset val="1"/>
      </rPr>
      <t xml:space="preserve">DNS </t>
    </r>
    <r>
      <rPr>
        <sz val="10"/>
        <color rgb="FF222222"/>
        <rFont val="Noto Sans CJK SC"/>
        <family val="2"/>
      </rPr>
      <t xml:space="preserve">正反解（</t>
    </r>
    <r>
      <rPr>
        <sz val="10"/>
        <color rgb="FF222222"/>
        <rFont val="Arial"/>
        <family val="0"/>
        <charset val="1"/>
      </rPr>
      <t xml:space="preserve">A/PTR</t>
    </r>
    <r>
      <rPr>
        <sz val="10"/>
        <color rgb="FF222222"/>
        <rFont val="Noto Sans CJK SC"/>
        <family val="2"/>
      </rPr>
      <t xml:space="preserve">）一致、所有 </t>
    </r>
    <r>
      <rPr>
        <sz val="10"/>
        <color rgb="FF222222"/>
        <rFont val="Arial"/>
        <family val="0"/>
        <charset val="1"/>
      </rPr>
      <t xml:space="preserve">FQDN </t>
    </r>
    <r>
      <rPr>
        <sz val="10"/>
        <color rgb="FF222222"/>
        <rFont val="Noto Sans CJK SC"/>
        <family val="2"/>
      </rPr>
      <t xml:space="preserve">全小寫（大寫 </t>
    </r>
    <r>
      <rPr>
        <sz val="10"/>
        <color rgb="FF222222"/>
        <rFont val="Arial"/>
        <family val="0"/>
        <charset val="1"/>
      </rPr>
      <t xml:space="preserve">FQDN </t>
    </r>
    <r>
      <rPr>
        <sz val="10"/>
        <color rgb="FF222222"/>
        <rFont val="Noto Sans CJK SC"/>
        <family val="2"/>
      </rPr>
      <t xml:space="preserve">會讓 </t>
    </r>
    <r>
      <rPr>
        <sz val="10"/>
        <color rgb="FF222222"/>
        <rFont val="Arial"/>
        <family val="0"/>
        <charset val="1"/>
      </rPr>
      <t xml:space="preserve">converge </t>
    </r>
    <r>
      <rPr>
        <sz val="10"/>
        <color rgb="FF222222"/>
        <rFont val="Noto Sans CJK SC"/>
        <family val="2"/>
      </rPr>
      <t xml:space="preserve">憑證鏈失敗）</t>
    </r>
  </si>
  <si>
    <t xml:space="preserve">nslookup &lt;fqdn&gt; / nslookup &lt;ip&gt;</t>
  </si>
  <si>
    <t xml:space="preserve">正反解一致、小寫</t>
  </si>
  <si>
    <t xml:space="preserve">KB 453612</t>
  </si>
  <si>
    <t xml:space="preserve">NET</t>
  </si>
  <si>
    <t xml:space="preserve">S00-08</t>
  </si>
  <si>
    <r>
      <rPr>
        <sz val="10"/>
        <color rgb="FF222222"/>
        <rFont val="Arial"/>
        <family val="0"/>
        <charset val="1"/>
      </rPr>
      <t xml:space="preserve">IP / DNS </t>
    </r>
    <r>
      <rPr>
        <sz val="10"/>
        <color rgb="FF222222"/>
        <rFont val="Noto Sans CJK SC"/>
        <family val="2"/>
      </rPr>
      <t xml:space="preserve">規劃完成（見『</t>
    </r>
    <r>
      <rPr>
        <sz val="10"/>
        <color rgb="FF222222"/>
        <rFont val="Arial"/>
        <family val="0"/>
        <charset val="1"/>
      </rPr>
      <t xml:space="preserve">IP &amp; DNS </t>
    </r>
    <r>
      <rPr>
        <sz val="10"/>
        <color rgb="FF222222"/>
        <rFont val="Noto Sans CJK SC"/>
        <family val="2"/>
      </rPr>
      <t xml:space="preserve">規劃』頁）：</t>
    </r>
    <r>
      <rPr>
        <sz val="10"/>
        <color rgb="FF222222"/>
        <rFont val="Arial"/>
        <family val="0"/>
        <charset val="1"/>
      </rPr>
      <t xml:space="preserve">VCF Mgmt Services IP pool ≥ 12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198.18.0.0/15 </t>
    </r>
    <r>
      <rPr>
        <sz val="10"/>
        <color rgb="FF222222"/>
        <rFont val="Noto Sans CJK SC"/>
        <family val="2"/>
      </rPr>
      <t xml:space="preserve">不可與內網重疊）、</t>
    </r>
    <r>
      <rPr>
        <sz val="10"/>
        <color rgb="FF222222"/>
        <rFont val="Arial"/>
        <family val="0"/>
        <charset val="1"/>
      </rPr>
      <t xml:space="preserve">License Server A+PTR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VCFA 5 IP + runtime FQDN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RDU </t>
    </r>
    <r>
      <rPr>
        <sz val="10"/>
        <color rgb="FF222222"/>
        <rFont val="Noto Sans CJK SC"/>
        <family val="2"/>
      </rPr>
      <t xml:space="preserve">暫時 </t>
    </r>
    <r>
      <rPr>
        <sz val="10"/>
        <color rgb="FF222222"/>
        <rFont val="Arial"/>
        <family val="0"/>
        <charset val="1"/>
      </rPr>
      <t xml:space="preserve">IP ×2</t>
    </r>
  </si>
  <si>
    <t xml:space="preserve">規劃表簽核</t>
  </si>
  <si>
    <r>
      <rPr>
        <sz val="9.5"/>
        <color rgb="FF222222"/>
        <rFont val="Arial"/>
        <family val="0"/>
        <charset val="1"/>
      </rPr>
      <t xml:space="preserve">KB 440630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TechDocs: Upgrading to VCF Automation 9.1</t>
    </r>
  </si>
  <si>
    <t xml:space="preserve">S00-09</t>
  </si>
  <si>
    <r>
      <rPr>
        <sz val="10"/>
        <color rgb="FF222222"/>
        <rFont val="Noto Sans CJK SC"/>
        <family val="2"/>
      </rPr>
      <t xml:space="preserve">管理叢集容量：單台主機邏輯 </t>
    </r>
    <r>
      <rPr>
        <sz val="10"/>
        <color rgb="FF222222"/>
        <rFont val="Arial"/>
        <family val="0"/>
        <charset val="1"/>
      </rPr>
      <t xml:space="preserve">CPU ≥ </t>
    </r>
    <r>
      <rPr>
        <sz val="10"/>
        <color rgb="FF222222"/>
        <rFont val="Noto Sans CJK SC"/>
        <family val="2"/>
      </rPr>
      <t xml:space="preserve">最大 </t>
    </r>
    <r>
      <rPr>
        <sz val="10"/>
        <color rgb="FF222222"/>
        <rFont val="Arial"/>
        <family val="0"/>
        <charset val="1"/>
      </rPr>
      <t xml:space="preserve">VM vCPU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Installer </t>
    </r>
    <r>
      <rPr>
        <sz val="10"/>
        <color rgb="FF222222"/>
        <rFont val="Noto Sans CJK SC"/>
        <family val="2"/>
      </rPr>
      <t xml:space="preserve">只驗叢集總量）；</t>
    </r>
    <r>
      <rPr>
        <sz val="10"/>
        <color rgb="FF222222"/>
        <rFont val="Arial"/>
        <family val="0"/>
        <charset val="1"/>
      </rPr>
      <t xml:space="preserve">VCFA </t>
    </r>
    <r>
      <rPr>
        <sz val="10"/>
        <color rgb="FF222222"/>
        <rFont val="Noto Sans CJK SC"/>
        <family val="2"/>
      </rPr>
      <t xml:space="preserve">藍綠升級期間資源約平時 </t>
    </r>
    <r>
      <rPr>
        <sz val="10"/>
        <color rgb="FF222222"/>
        <rFont val="Arial"/>
        <family val="0"/>
        <charset val="1"/>
      </rPr>
      <t xml:space="preserve">2 </t>
    </r>
    <r>
      <rPr>
        <sz val="10"/>
        <color rgb="FF222222"/>
        <rFont val="Noto Sans CJK SC"/>
        <family val="2"/>
      </rPr>
      <t xml:space="preserve">倍</t>
    </r>
  </si>
  <si>
    <t xml:space="preserve">容量足夠</t>
  </si>
  <si>
    <r>
      <rPr>
        <sz val="9.5"/>
        <color rgb="FF222222"/>
        <rFont val="Arial"/>
        <family val="0"/>
        <charset val="1"/>
      </rPr>
      <t xml:space="preserve">CXS Lab </t>
    </r>
    <r>
      <rPr>
        <sz val="9.5"/>
        <color rgb="FF222222"/>
        <rFont val="Noto Sans CJK SC"/>
        <family val="2"/>
      </rPr>
      <t xml:space="preserve">實測</t>
    </r>
  </si>
  <si>
    <t xml:space="preserve">ARC</t>
  </si>
  <si>
    <t xml:space="preserve">S00-10</t>
  </si>
  <si>
    <r>
      <rPr>
        <sz val="10"/>
        <color rgb="FF222222"/>
        <rFont val="Arial"/>
        <family val="0"/>
        <charset val="1"/>
      </rPr>
      <t xml:space="preserve">SRM </t>
    </r>
    <r>
      <rPr>
        <sz val="10"/>
        <color rgb="FF222222"/>
        <rFont val="Noto Sans CJK SC"/>
        <family val="2"/>
      </rPr>
      <t xml:space="preserve">拓樸：兩朵雲是否互為配對、各 </t>
    </r>
    <r>
      <rPr>
        <sz val="10"/>
        <color rgb="FF222222"/>
        <rFont val="Arial"/>
        <family val="0"/>
        <charset val="1"/>
      </rPr>
      <t xml:space="preserve">Protection Group </t>
    </r>
    <r>
      <rPr>
        <sz val="10"/>
        <color rgb="FF222222"/>
        <rFont val="Noto Sans CJK SC"/>
        <family val="2"/>
      </rPr>
      <t xml:space="preserve">方向（</t>
    </r>
    <r>
      <rPr>
        <sz val="10"/>
        <color rgb="FF222222"/>
        <rFont val="Arial"/>
        <family val="0"/>
        <charset val="1"/>
      </rPr>
      <t xml:space="preserve">protected / recovery</t>
    </r>
    <r>
      <rPr>
        <sz val="10"/>
        <color rgb="FF222222"/>
        <rFont val="Noto Sans CJK SC"/>
        <family val="2"/>
      </rPr>
      <t xml:space="preserve">）、</t>
    </r>
    <r>
      <rPr>
        <sz val="10"/>
        <color rgb="FF222222"/>
        <rFont val="Arial"/>
        <family val="0"/>
        <charset val="1"/>
      </rPr>
      <t xml:space="preserve">replication </t>
    </r>
    <r>
      <rPr>
        <sz val="10"/>
        <color rgb="FF222222"/>
        <rFont val="Noto Sans CJK SC"/>
        <family val="2"/>
      </rPr>
      <t xml:space="preserve">方式；</t>
    </r>
    <r>
      <rPr>
        <sz val="10"/>
        <color rgb="FF222222"/>
        <rFont val="Arial"/>
        <family val="0"/>
        <charset val="1"/>
      </rPr>
      <t xml:space="preserve">solution account </t>
    </r>
    <r>
      <rPr>
        <sz val="10"/>
        <color rgb="FF222222"/>
        <rFont val="Noto Sans CJK SC"/>
        <family val="2"/>
      </rPr>
      <t xml:space="preserve">密碼不過期設定</t>
    </r>
  </si>
  <si>
    <r>
      <rPr>
        <sz val="9.5"/>
        <color rgb="FF222222"/>
        <rFont val="Arial"/>
        <family val="0"/>
        <charset val="1"/>
      </rPr>
      <t xml:space="preserve">SRM UI &gt; Site Pair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Protection Groups</t>
    </r>
  </si>
  <si>
    <r>
      <rPr>
        <sz val="9.5"/>
        <color rgb="FF222222"/>
        <rFont val="Arial"/>
        <family val="0"/>
        <charset val="1"/>
      </rPr>
      <t xml:space="preserve">TechDocs: Order of Upgrading vSphere and Protection and Recovery Components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KB 367383</t>
    </r>
  </si>
  <si>
    <t xml:space="preserve">DR</t>
  </si>
  <si>
    <t xml:space="preserve">S00-11</t>
  </si>
  <si>
    <r>
      <rPr>
        <sz val="10"/>
        <color rgb="FF222222"/>
        <rFont val="Arial"/>
        <family val="0"/>
        <charset val="1"/>
      </rPr>
      <t xml:space="preserve">Interop Matrix</t>
    </r>
    <r>
      <rPr>
        <sz val="10"/>
        <color rgb="FF222222"/>
        <rFont val="Noto Sans CJK SC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VCFA 9.1.1 ↔ vCenter 8.0.3</t>
    </r>
    <r>
      <rPr>
        <sz val="10"/>
        <color rgb="FF222222"/>
        <rFont val="Noto Sans CJK SC"/>
        <family val="2"/>
      </rPr>
      <t xml:space="preserve">（過渡期）、</t>
    </r>
    <r>
      <rPr>
        <sz val="10"/>
        <color rgb="FF222222"/>
        <rFont val="Arial"/>
        <family val="0"/>
        <charset val="1"/>
      </rPr>
      <t xml:space="preserve">SRM 9.1.1 ↔ vCenter 8.0.3 / 9.1.1</t>
    </r>
    <r>
      <rPr>
        <sz val="10"/>
        <color rgb="FF222222"/>
        <rFont val="Noto Sans CJK SC"/>
        <family val="2"/>
      </rPr>
      <t xml:space="preserve">、備份軟體與第三方 </t>
    </r>
    <r>
      <rPr>
        <sz val="10"/>
        <color rgb="FF222222"/>
        <rFont val="Arial"/>
        <family val="0"/>
        <charset val="1"/>
      </rPr>
      <t xml:space="preserve">plugin ↔ vSphere 9.1.1</t>
    </r>
  </si>
  <si>
    <t xml:space="preserve">interopmatrix.broadcom.com</t>
  </si>
  <si>
    <r>
      <rPr>
        <sz val="10"/>
        <color rgb="FF222222"/>
        <rFont val="Noto Sans CJK SC"/>
        <family val="2"/>
      </rPr>
      <t xml:space="preserve">全部 </t>
    </r>
    <r>
      <rPr>
        <sz val="10"/>
        <color rgb="FF222222"/>
        <rFont val="Arial"/>
        <family val="0"/>
        <charset val="1"/>
      </rPr>
      <t xml:space="preserve">Compatible </t>
    </r>
    <r>
      <rPr>
        <sz val="10"/>
        <color rgb="FF222222"/>
        <rFont val="Noto Sans CJK SC"/>
        <family val="2"/>
      </rPr>
      <t xml:space="preserve">或已有對策</t>
    </r>
  </si>
  <si>
    <t xml:space="preserve">Broadcom Interop Matrix</t>
  </si>
  <si>
    <t xml:space="preserve">S00-12</t>
  </si>
  <si>
    <r>
      <rPr>
        <sz val="10"/>
        <color rgb="FF222222"/>
        <rFont val="Noto Sans CJK SC"/>
        <family val="2"/>
      </rPr>
      <t xml:space="preserve">備份：三套 </t>
    </r>
    <r>
      <rPr>
        <sz val="10"/>
        <color rgb="FF222222"/>
        <rFont val="Arial"/>
        <family val="0"/>
        <charset val="1"/>
      </rPr>
      <t xml:space="preserve">vCenter file-based backup </t>
    </r>
    <r>
      <rPr>
        <sz val="10"/>
        <color rgb="FF222222"/>
        <rFont val="Noto Sans CJK SC"/>
        <family val="2"/>
      </rPr>
      <t xml:space="preserve">並抽測還原；</t>
    </r>
    <r>
      <rPr>
        <sz val="10"/>
        <color rgb="FF222222"/>
        <rFont val="Arial"/>
        <family val="0"/>
        <charset val="1"/>
      </rPr>
      <t xml:space="preserve">SRM </t>
    </r>
    <r>
      <rPr>
        <sz val="10"/>
        <color rgb="FF222222"/>
        <rFont val="Noto Sans CJK SC"/>
        <family val="2"/>
      </rPr>
      <t xml:space="preserve">設定匯出；</t>
    </r>
    <r>
      <rPr>
        <sz val="10"/>
        <color rgb="FF222222"/>
        <rFont val="Arial"/>
        <family val="0"/>
        <charset val="1"/>
      </rPr>
      <t xml:space="preserve">SFTP </t>
    </r>
    <r>
      <rPr>
        <sz val="10"/>
        <color rgb="FF222222"/>
        <rFont val="Noto Sans CJK SC"/>
        <family val="2"/>
      </rPr>
      <t xml:space="preserve">備份伺服器就緒</t>
    </r>
  </si>
  <si>
    <t xml:space="preserve">VAMI &gt; Backup</t>
  </si>
  <si>
    <t xml:space="preserve">備份成功、還原驗證通過</t>
  </si>
  <si>
    <t xml:space="preserve">TechDocs: VCF 9.1 Backup and Restore</t>
  </si>
  <si>
    <t xml:space="preserve">執行</t>
  </si>
  <si>
    <t xml:space="preserve">S00-13</t>
  </si>
  <si>
    <r>
      <rPr>
        <sz val="10"/>
        <color rgb="FF222222"/>
        <rFont val="Noto Sans CJK SC"/>
        <family val="2"/>
      </rPr>
      <t xml:space="preserve">填寫 </t>
    </r>
    <r>
      <rPr>
        <sz val="10"/>
        <color rgb="FF222222"/>
        <rFont val="Arial"/>
        <family val="0"/>
        <charset val="1"/>
      </rPr>
      <t xml:space="preserve">Planning &amp; Preparation Workbook</t>
    </r>
    <r>
      <rPr>
        <sz val="10"/>
        <color rgb="FF222222"/>
        <rFont val="Noto Sans CJK SC"/>
        <family val="2"/>
      </rPr>
      <t xml:space="preserve">；開立變更單（每一步的窗口、退版時間、負責人）</t>
    </r>
  </si>
  <si>
    <t xml:space="preserve">變更單核准</t>
  </si>
  <si>
    <r>
      <rPr>
        <sz val="10"/>
        <color rgb="FF222222"/>
        <rFont val="Arial"/>
        <family val="0"/>
        <charset val="1"/>
      </rPr>
      <t xml:space="preserve">PM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CHG</t>
    </r>
  </si>
  <si>
    <t xml:space="preserve">完成驗證</t>
  </si>
  <si>
    <t xml:space="preserve">S00-14</t>
  </si>
  <si>
    <r>
      <rPr>
        <sz val="10"/>
        <color rgb="FF222222"/>
        <rFont val="Arial"/>
        <family val="0"/>
        <charset val="1"/>
      </rPr>
      <t xml:space="preserve">G0 </t>
    </r>
    <r>
      <rPr>
        <sz val="10"/>
        <color rgb="FF222222"/>
        <rFont val="Noto Sans CJK SC"/>
        <family val="2"/>
      </rPr>
      <t xml:space="preserve">簽核：阻礙項清零、備份可還原、</t>
    </r>
    <r>
      <rPr>
        <sz val="10"/>
        <color rgb="FF222222"/>
        <rFont val="Arial"/>
        <family val="0"/>
        <charset val="1"/>
      </rPr>
      <t xml:space="preserve">IP/DNS </t>
    </r>
    <r>
      <rPr>
        <sz val="10"/>
        <color rgb="FF222222"/>
        <rFont val="Noto Sans CJK SC"/>
        <family val="2"/>
      </rPr>
      <t xml:space="preserve">驗證完成</t>
    </r>
  </si>
  <si>
    <t xml:space="preserve">G0 Go</t>
  </si>
  <si>
    <t xml:space="preserve">PM</t>
  </si>
  <si>
    <r>
      <rPr>
        <b val="true"/>
        <sz val="10"/>
        <color rgb="FF717074"/>
        <rFont val="Noto Sans CJK SC"/>
        <family val="2"/>
      </rPr>
      <t xml:space="preserve">退版 </t>
    </r>
    <r>
      <rPr>
        <b val="true"/>
        <sz val="10"/>
        <color rgb="FF717074"/>
        <rFont val="Arial"/>
        <family val="0"/>
        <charset val="1"/>
      </rPr>
      <t xml:space="preserve">/ </t>
    </r>
    <r>
      <rPr>
        <b val="true"/>
        <sz val="10"/>
        <color rgb="FF717074"/>
        <rFont val="Noto Sans CJK SC"/>
        <family val="2"/>
      </rPr>
      <t xml:space="preserve">截止點</t>
    </r>
  </si>
  <si>
    <t xml:space="preserve">S00-15</t>
  </si>
  <si>
    <t xml:space="preserve">無變更（只做盤點與準備）</t>
  </si>
  <si>
    <t xml:space="preserve">#1</t>
  </si>
  <si>
    <r>
      <rPr>
        <b val="true"/>
        <sz val="10.5"/>
        <color rgb="FFFFFFFF"/>
        <rFont val="Arial"/>
        <family val="0"/>
        <charset val="1"/>
      </rPr>
      <t xml:space="preserve">S01</t>
    </r>
    <r>
      <rPr>
        <b val="true"/>
        <sz val="10.5"/>
        <color rgb="FFFFFFFF"/>
        <rFont val="Noto Sans CJK SC"/>
        <family val="2"/>
      </rPr>
      <t xml:space="preserve">｜</t>
    </r>
    <r>
      <rPr>
        <b val="true"/>
        <sz val="10.5"/>
        <color rgb="FFFFFFFF"/>
        <rFont val="Arial"/>
        <family val="0"/>
        <charset val="1"/>
      </rPr>
      <t xml:space="preserve">Cold-migrate vRA / vRO into the Management Cluster</t>
    </r>
    <r>
      <rPr>
        <b val="true"/>
        <sz val="10.5"/>
        <color rgb="FFFFFFFF"/>
        <rFont val="Noto Sans CJK SC"/>
        <family val="2"/>
      </rPr>
      <t xml:space="preserve">｜</t>
    </r>
    <r>
      <rPr>
        <b val="true"/>
        <sz val="10.5"/>
        <color rgb="FFFFFFFF"/>
        <rFont val="Arial"/>
        <family val="0"/>
        <charset val="1"/>
      </rPr>
      <t xml:space="preserve">vRA / vRO </t>
    </r>
    <r>
      <rPr>
        <b val="true"/>
        <sz val="10.5"/>
        <color rgb="FFFFFFFF"/>
        <rFont val="Noto Sans CJK SC"/>
        <family val="2"/>
      </rPr>
      <t xml:space="preserve">冷遷移至 </t>
    </r>
    <r>
      <rPr>
        <b val="true"/>
        <sz val="10.5"/>
        <color rgb="FFFFFFFF"/>
        <rFont val="Arial"/>
        <family val="0"/>
        <charset val="1"/>
      </rPr>
      <t xml:space="preserve">Management Cluster</t>
    </r>
    <r>
      <rPr>
        <b val="true"/>
        <sz val="10.5"/>
        <color rgb="FFFFFFFF"/>
        <rFont val="Noto Sans CJK SC"/>
        <family val="2"/>
      </rPr>
      <t xml:space="preserve">｜</t>
    </r>
    <r>
      <rPr>
        <b val="true"/>
        <sz val="10.5"/>
        <color rgb="FFFFFFFF"/>
        <rFont val="Arial"/>
        <family val="0"/>
        <charset val="1"/>
      </rPr>
      <t xml:space="preserve">Lab</t>
    </r>
    <r>
      <rPr>
        <b val="true"/>
        <sz val="10.5"/>
        <color rgb="FFFFFFFF"/>
        <rFont val="Noto Sans CJK SC"/>
        <family val="2"/>
      </rPr>
      <t xml:space="preserve">：</t>
    </r>
    <r>
      <rPr>
        <b val="true"/>
        <sz val="10.5"/>
        <color rgb="FFFFFFFF"/>
        <rFont val="Arial"/>
        <family val="0"/>
        <charset val="1"/>
      </rPr>
      <t xml:space="preserve">165 GB </t>
    </r>
    <r>
      <rPr>
        <b val="true"/>
        <sz val="10.5"/>
        <color rgb="FFFFFFFF"/>
        <rFont val="Noto Sans CJK SC"/>
        <family val="2"/>
      </rPr>
      <t xml:space="preserve">冷遷移約 </t>
    </r>
    <r>
      <rPr>
        <b val="true"/>
        <sz val="10.5"/>
        <color rgb="FFFFFFFF"/>
        <rFont val="Arial"/>
        <family val="0"/>
        <charset val="1"/>
      </rPr>
      <t xml:space="preserve">97 </t>
    </r>
    <r>
      <rPr>
        <b val="true"/>
        <sz val="10.5"/>
        <color rgb="FFFFFFFF"/>
        <rFont val="Noto Sans CJK SC"/>
        <family val="2"/>
      </rPr>
      <t xml:space="preserve">分 </t>
    </r>
    <r>
      <rPr>
        <b val="true"/>
        <sz val="10.5"/>
        <color rgb="FFFFFFFF"/>
        <rFont val="Arial"/>
        <family val="0"/>
        <charset val="1"/>
      </rPr>
      <t xml:space="preserve">/ VM</t>
    </r>
    <r>
      <rPr>
        <b val="true"/>
        <sz val="10.5"/>
        <color rgb="FFFFFFFF"/>
        <rFont val="Noto Sans CJK SC"/>
        <family val="2"/>
      </rPr>
      <t xml:space="preserve">（</t>
    </r>
    <r>
      <rPr>
        <b val="true"/>
        <sz val="10.5"/>
        <color rgb="FFFFFFFF"/>
        <rFont val="Arial"/>
        <family val="0"/>
        <charset val="1"/>
      </rPr>
      <t xml:space="preserve">nested</t>
    </r>
    <r>
      <rPr>
        <b val="true"/>
        <sz val="10.5"/>
        <color rgb="FFFFFFFF"/>
        <rFont val="Noto Sans CJK SC"/>
        <family val="2"/>
      </rPr>
      <t xml:space="preserve">）｜負責：</t>
    </r>
    <r>
      <rPr>
        <b val="true"/>
        <sz val="10.5"/>
        <color rgb="FFFFFFFF"/>
        <rFont val="Arial"/>
        <family val="0"/>
        <charset val="1"/>
      </rPr>
      <t xml:space="preserve">ENG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SYS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AUTO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NET</t>
    </r>
  </si>
  <si>
    <t xml:space="preserve">S01-01</t>
  </si>
  <si>
    <r>
      <rPr>
        <sz val="10"/>
        <color rgb="FF222222"/>
        <rFont val="Arial"/>
        <family val="0"/>
        <charset val="1"/>
      </rPr>
      <t xml:space="preserve">Management Cluster </t>
    </r>
    <r>
      <rPr>
        <sz val="10"/>
        <color rgb="FF222222"/>
        <rFont val="Noto Sans CJK SC"/>
        <family val="2"/>
      </rPr>
      <t xml:space="preserve">提供與 </t>
    </r>
    <r>
      <rPr>
        <sz val="10"/>
        <color rgb="FF222222"/>
        <rFont val="Arial"/>
        <family val="0"/>
        <charset val="1"/>
      </rPr>
      <t xml:space="preserve">vRA / vRO </t>
    </r>
    <r>
      <rPr>
        <sz val="10"/>
        <color rgb="FF222222"/>
        <rFont val="Noto Sans CJK SC"/>
        <family val="2"/>
      </rPr>
      <t xml:space="preserve">現行『同一 </t>
    </r>
    <r>
      <rPr>
        <sz val="10"/>
        <color rgb="FF222222"/>
        <rFont val="Arial"/>
        <family val="0"/>
        <charset val="1"/>
      </rPr>
      <t xml:space="preserve">L2 </t>
    </r>
    <r>
      <rPr>
        <sz val="10"/>
        <color rgb="FF222222"/>
        <rFont val="Noto Sans CJK SC"/>
        <family val="2"/>
      </rPr>
      <t xml:space="preserve">網段』的 </t>
    </r>
    <r>
      <rPr>
        <sz val="10"/>
        <color rgb="FF222222"/>
        <rFont val="Arial"/>
        <family val="0"/>
        <charset val="1"/>
      </rPr>
      <t xml:space="preserve">port group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IP / FQDN </t>
    </r>
    <r>
      <rPr>
        <sz val="10"/>
        <color rgb="FF222222"/>
        <rFont val="Noto Sans CJK SC"/>
        <family val="2"/>
      </rPr>
      <t xml:space="preserve">不變；</t>
    </r>
    <r>
      <rPr>
        <sz val="10"/>
        <color rgb="FF222222"/>
        <rFont val="Arial"/>
        <family val="0"/>
        <charset val="1"/>
      </rPr>
      <t xml:space="preserve">VCFA 9.1 </t>
    </r>
    <r>
      <rPr>
        <sz val="10"/>
        <color rgb="FF222222"/>
        <rFont val="Noto Sans CJK SC"/>
        <family val="2"/>
      </rPr>
      <t xml:space="preserve">新節點也必須部署在同網段）</t>
    </r>
  </si>
  <si>
    <t xml:space="preserve">VDS &gt; Port groups</t>
  </si>
  <si>
    <r>
      <rPr>
        <sz val="10"/>
        <color rgb="FF222222"/>
        <rFont val="Arial"/>
        <family val="0"/>
        <charset val="1"/>
      </rPr>
      <t xml:space="preserve">VLAN / subnet </t>
    </r>
    <r>
      <rPr>
        <sz val="10"/>
        <color rgb="FF222222"/>
        <rFont val="Noto Sans CJK SC"/>
        <family val="2"/>
      </rPr>
      <t xml:space="preserve">相同</t>
    </r>
  </si>
  <si>
    <r>
      <rPr>
        <sz val="9.5"/>
        <color rgb="FF222222"/>
        <rFont val="Arial"/>
        <family val="0"/>
        <charset val="1"/>
      </rPr>
      <t xml:space="preserve">TechDocs: Upgrading to VCF Automation 9.1</t>
    </r>
    <r>
      <rPr>
        <sz val="9.5"/>
        <color rgb="FF222222"/>
        <rFont val="Noto Sans CJK SC"/>
        <family val="2"/>
      </rPr>
      <t xml:space="preserve">（</t>
    </r>
    <r>
      <rPr>
        <sz val="9.5"/>
        <color rgb="FF222222"/>
        <rFont val="Arial"/>
        <family val="0"/>
        <charset val="1"/>
      </rPr>
      <t xml:space="preserve">same network</t>
    </r>
    <r>
      <rPr>
        <sz val="9.5"/>
        <color rgb="FF222222"/>
        <rFont val="Noto Sans CJK SC"/>
        <family val="2"/>
      </rPr>
      <t xml:space="preserve">）；</t>
    </r>
    <r>
      <rPr>
        <sz val="9.5"/>
        <color rgb="FF222222"/>
        <rFont val="Arial"/>
        <family val="0"/>
        <charset val="1"/>
      </rPr>
      <t xml:space="preserve">Import an Existing VMware Aria Automation Instance</t>
    </r>
  </si>
  <si>
    <t xml:space="preserve">S01-02</t>
  </si>
  <si>
    <r>
      <rPr>
        <sz val="10"/>
        <color rgb="FF222222"/>
        <rFont val="Noto Sans CJK SC"/>
        <family val="2"/>
      </rPr>
      <t xml:space="preserve">順序：</t>
    </r>
    <r>
      <rPr>
        <sz val="10"/>
        <color rgb="FF222222"/>
        <rFont val="Arial"/>
        <family val="0"/>
        <charset val="1"/>
      </rPr>
      <t xml:space="preserve">CXS Lab </t>
    </r>
    <r>
      <rPr>
        <sz val="10"/>
        <color rgb="FF222222"/>
        <rFont val="Noto Sans CJK SC"/>
        <family val="2"/>
      </rPr>
      <t xml:space="preserve">驗證的是管理網域建好後再搬（</t>
    </r>
    <r>
      <rPr>
        <sz val="10"/>
        <color rgb="FF222222"/>
        <rFont val="Arial"/>
        <family val="0"/>
        <charset val="1"/>
      </rPr>
      <t xml:space="preserve">Converge → </t>
    </r>
    <r>
      <rPr>
        <sz val="10"/>
        <color rgb="FF222222"/>
        <rFont val="Noto Sans CJK SC"/>
        <family val="2"/>
      </rPr>
      <t xml:space="preserve">搬 </t>
    </r>
    <r>
      <rPr>
        <sz val="10"/>
        <color rgb="FF222222"/>
        <rFont val="Arial"/>
        <family val="0"/>
        <charset val="1"/>
      </rPr>
      <t xml:space="preserve">vRA → Import</t>
    </r>
    <r>
      <rPr>
        <sz val="10"/>
        <color rgb="FF222222"/>
        <rFont val="Noto Sans CJK SC"/>
        <family val="2"/>
      </rPr>
      <t xml:space="preserve">）；先搬再 </t>
    </r>
    <r>
      <rPr>
        <sz val="10"/>
        <color rgb="FF222222"/>
        <rFont val="Arial"/>
        <family val="0"/>
        <charset val="1"/>
      </rPr>
      <t xml:space="preserve">Converge </t>
    </r>
    <r>
      <rPr>
        <sz val="10"/>
        <color rgb="FF222222"/>
        <rFont val="Noto Sans CJK SC"/>
        <family val="2"/>
      </rPr>
      <t xml:space="preserve">亦可，但未經 </t>
    </r>
    <r>
      <rPr>
        <sz val="10"/>
        <color rgb="FF222222"/>
        <rFont val="Arial"/>
        <family val="0"/>
        <charset val="1"/>
      </rPr>
      <t xml:space="preserve">Lab </t>
    </r>
    <r>
      <rPr>
        <sz val="10"/>
        <color rgb="FF222222"/>
        <rFont val="Noto Sans CJK SC"/>
        <family val="2"/>
      </rPr>
      <t xml:space="preserve">驗證</t>
    </r>
  </si>
  <si>
    <t xml:space="preserve">已決定</t>
  </si>
  <si>
    <t xml:space="preserve">S01-03</t>
  </si>
  <si>
    <r>
      <rPr>
        <sz val="10"/>
        <color rgb="FF222222"/>
        <rFont val="Noto Sans CJK SC"/>
        <family val="2"/>
      </rPr>
      <t xml:space="preserve">熱 </t>
    </r>
    <r>
      <rPr>
        <sz val="10"/>
        <color rgb="FF222222"/>
        <rFont val="Arial"/>
        <family val="0"/>
        <charset val="1"/>
      </rPr>
      <t xml:space="preserve">vMotion </t>
    </r>
    <r>
      <rPr>
        <sz val="10"/>
        <color rgb="FF222222"/>
        <rFont val="Noto Sans CJK SC"/>
        <family val="2"/>
      </rPr>
      <t xml:space="preserve">不採用：</t>
    </r>
    <r>
      <rPr>
        <sz val="10"/>
        <color rgb="FF222222"/>
        <rFont val="Arial"/>
        <family val="0"/>
        <charset val="1"/>
      </rPr>
      <t xml:space="preserve">vDS 8.0.3 ↔ 9.1 </t>
    </r>
    <r>
      <rPr>
        <sz val="10"/>
        <color rgb="FF222222"/>
        <rFont val="Noto Sans CJK SC"/>
        <family val="2"/>
      </rPr>
      <t xml:space="preserve">不同版本間 </t>
    </r>
    <r>
      <rPr>
        <sz val="10"/>
        <color rgb="FF222222"/>
        <rFont val="Arial"/>
        <family val="0"/>
        <charset val="1"/>
      </rPr>
      <t xml:space="preserve">vMotion </t>
    </r>
    <r>
      <rPr>
        <sz val="10"/>
        <color rgb="FF222222"/>
        <rFont val="Noto Sans CJK SC"/>
        <family val="2"/>
      </rPr>
      <t xml:space="preserve">不支援；</t>
    </r>
    <r>
      <rPr>
        <sz val="10"/>
        <color rgb="FF222222"/>
        <rFont val="Arial"/>
        <family val="0"/>
        <charset val="1"/>
      </rPr>
      <t xml:space="preserve">CXS Lab </t>
    </r>
    <r>
      <rPr>
        <sz val="10"/>
        <color rgb="FF222222"/>
        <rFont val="Noto Sans CJK SC"/>
        <family val="2"/>
      </rPr>
      <t xml:space="preserve">熱遷移亦因 </t>
    </r>
    <r>
      <rPr>
        <sz val="10"/>
        <color rgb="FF222222"/>
        <rFont val="Arial"/>
        <family val="0"/>
        <charset val="1"/>
      </rPr>
      <t xml:space="preserve">CPU feature </t>
    </r>
    <r>
      <rPr>
        <sz val="10"/>
        <color rgb="FF222222"/>
        <rFont val="Noto Sans CJK SC"/>
        <family val="2"/>
      </rPr>
      <t xml:space="preserve">失敗 → 排停機窗口冷遷移</t>
    </r>
  </si>
  <si>
    <t xml:space="preserve">已排窗口</t>
  </si>
  <si>
    <r>
      <rPr>
        <sz val="9.5"/>
        <color rgb="FF222222"/>
        <rFont val="Arial"/>
        <family val="0"/>
        <charset val="1"/>
      </rPr>
      <t xml:space="preserve">KB 318582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CXS Lab </t>
    </r>
    <r>
      <rPr>
        <sz val="9.5"/>
        <color rgb="FF222222"/>
        <rFont val="Noto Sans CJK SC"/>
        <family val="2"/>
      </rPr>
      <t xml:space="preserve">實測</t>
    </r>
  </si>
  <si>
    <t xml:space="preserve">S01-04</t>
  </si>
  <si>
    <r>
      <rPr>
        <sz val="10"/>
        <color rgb="FF222222"/>
        <rFont val="Noto Sans CJK SC"/>
        <family val="2"/>
      </rPr>
      <t xml:space="preserve">兩端 </t>
    </r>
    <r>
      <rPr>
        <sz val="10"/>
        <color rgb="FF222222"/>
        <rFont val="Arial"/>
        <family val="0"/>
        <charset val="1"/>
      </rPr>
      <t xml:space="preserve">vCenter 443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ESXi 902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NFC</t>
    </r>
    <r>
      <rPr>
        <sz val="10"/>
        <color rgb="FF222222"/>
        <rFont val="Noto Sans CJK SC"/>
        <family val="2"/>
      </rPr>
      <t xml:space="preserve">）互通；目的 </t>
    </r>
    <r>
      <rPr>
        <sz val="10"/>
        <color rgb="FF222222"/>
        <rFont val="Arial"/>
        <family val="0"/>
        <charset val="1"/>
      </rPr>
      <t xml:space="preserve">datastore </t>
    </r>
    <r>
      <rPr>
        <sz val="10"/>
        <color rgb="FF222222"/>
        <rFont val="Noto Sans CJK SC"/>
        <family val="2"/>
      </rPr>
      <t xml:space="preserve">容量足夠</t>
    </r>
  </si>
  <si>
    <t xml:space="preserve">Test-NetConnection / nc -zv</t>
  </si>
  <si>
    <t xml:space="preserve">可連通</t>
  </si>
  <si>
    <t xml:space="preserve">TechDocs: Import or Clone a VM with Advanced Cross vCenter vMotion</t>
  </si>
  <si>
    <t xml:space="preserve">S01-05</t>
  </si>
  <si>
    <r>
      <rPr>
        <sz val="10"/>
        <color rgb="FF222222"/>
        <rFont val="Noto Sans CJK SC"/>
        <family val="2"/>
      </rPr>
      <t xml:space="preserve">記錄各節點 </t>
    </r>
    <r>
      <rPr>
        <sz val="10"/>
        <color rgb="FF222222"/>
        <rFont val="Arial"/>
        <family val="0"/>
        <charset val="1"/>
      </rPr>
      <t xml:space="preserve">vApp properties / OVF </t>
    </r>
    <r>
      <rPr>
        <sz val="10"/>
        <color rgb="FF222222"/>
        <rFont val="Noto Sans CJK SC"/>
        <family val="2"/>
      </rPr>
      <t xml:space="preserve">環境（</t>
    </r>
    <r>
      <rPr>
        <sz val="10"/>
        <color rgb="FF222222"/>
        <rFont val="Arial"/>
        <family val="0"/>
        <charset val="1"/>
      </rPr>
      <t xml:space="preserve">vApp options </t>
    </r>
    <r>
      <rPr>
        <sz val="10"/>
        <color rgb="FF222222"/>
        <rFont val="Noto Sans CJK SC"/>
        <family val="2"/>
      </rPr>
      <t xml:space="preserve">遺失會讓 </t>
    </r>
    <r>
      <rPr>
        <sz val="10"/>
        <color rgb="FF222222"/>
        <rFont val="Arial"/>
        <family val="0"/>
        <charset val="1"/>
      </rPr>
      <t xml:space="preserve">vRA </t>
    </r>
    <r>
      <rPr>
        <sz val="10"/>
        <color rgb="FF222222"/>
        <rFont val="Noto Sans CJK SC"/>
        <family val="2"/>
      </rPr>
      <t xml:space="preserve">服務起不來）</t>
    </r>
  </si>
  <si>
    <r>
      <rPr>
        <sz val="9.5"/>
        <color rgb="FF222222"/>
        <rFont val="Arial"/>
        <family val="0"/>
        <charset val="1"/>
      </rPr>
      <t xml:space="preserve">VM &gt; Configure &gt; vApp Options</t>
    </r>
    <r>
      <rPr>
        <sz val="9.5"/>
        <color rgb="FF222222"/>
        <rFont val="Noto Sans CJK SC"/>
        <family val="2"/>
      </rPr>
      <t xml:space="preserve">（匯出截圖 </t>
    </r>
    <r>
      <rPr>
        <sz val="9.5"/>
        <color rgb="FF222222"/>
        <rFont val="Arial"/>
        <family val="0"/>
        <charset val="1"/>
      </rPr>
      <t xml:space="preserve">/ OVF</t>
    </r>
    <r>
      <rPr>
        <sz val="9.5"/>
        <color rgb="FF222222"/>
        <rFont val="Noto Sans CJK SC"/>
        <family val="2"/>
      </rPr>
      <t xml:space="preserve">）</t>
    </r>
  </si>
  <si>
    <t xml:space="preserve">已備份</t>
  </si>
  <si>
    <t xml:space="preserve">KB 447218</t>
  </si>
  <si>
    <t xml:space="preserve">ENG</t>
  </si>
  <si>
    <t xml:space="preserve">S01-06</t>
  </si>
  <si>
    <r>
      <rPr>
        <sz val="10"/>
        <color rgb="FF222222"/>
        <rFont val="Noto Sans CJK SC"/>
        <family val="2"/>
      </rPr>
      <t xml:space="preserve">健康基準：</t>
    </r>
    <r>
      <rPr>
        <sz val="10"/>
        <color rgb="FF222222"/>
        <rFont val="Arial"/>
        <family val="0"/>
        <charset val="1"/>
      </rPr>
      <t xml:space="preserve">vracli status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pods </t>
    </r>
    <r>
      <rPr>
        <sz val="10"/>
        <color rgb="FF222222"/>
        <rFont val="Noto Sans CJK SC"/>
        <family val="2"/>
      </rPr>
      <t xml:space="preserve">全 </t>
    </r>
    <r>
      <rPr>
        <sz val="10"/>
        <color rgb="FF222222"/>
        <rFont val="Arial"/>
        <family val="0"/>
        <charset val="1"/>
      </rPr>
      <t xml:space="preserve">Running</t>
    </r>
    <r>
      <rPr>
        <sz val="10"/>
        <color rgb="FF222222"/>
        <rFont val="Noto Sans CJK SC"/>
        <family val="2"/>
      </rPr>
      <t xml:space="preserve">；凍結 </t>
    </r>
    <r>
      <rPr>
        <sz val="10"/>
        <color rgb="FF222222"/>
        <rFont val="Arial"/>
        <family val="0"/>
        <charset val="1"/>
      </rPr>
      <t xml:space="preserve">vRA </t>
    </r>
    <r>
      <rPr>
        <sz val="10"/>
        <color rgb="FF222222"/>
        <rFont val="Noto Sans CJK SC"/>
        <family val="2"/>
      </rPr>
      <t xml:space="preserve">請求與 </t>
    </r>
    <r>
      <rPr>
        <sz val="10"/>
        <color rgb="FF222222"/>
        <rFont val="Arial"/>
        <family val="0"/>
        <charset val="1"/>
      </rPr>
      <t xml:space="preserve">vRO </t>
    </r>
    <r>
      <rPr>
        <sz val="10"/>
        <color rgb="FF222222"/>
        <rFont val="Noto Sans CJK SC"/>
        <family val="2"/>
      </rPr>
      <t xml:space="preserve">排程工作流程</t>
    </r>
  </si>
  <si>
    <t xml:space="preserve">kubectl get pods -n prelude</t>
  </si>
  <si>
    <r>
      <rPr>
        <sz val="10"/>
        <color rgb="FF222222"/>
        <rFont val="Noto Sans CJK SC"/>
        <family val="2"/>
      </rPr>
      <t xml:space="preserve">全 </t>
    </r>
    <r>
      <rPr>
        <sz val="10"/>
        <color rgb="FF222222"/>
        <rFont val="Arial"/>
        <family val="0"/>
        <charset val="1"/>
      </rPr>
      <t xml:space="preserve">Running</t>
    </r>
  </si>
  <si>
    <t xml:space="preserve">S01-07</t>
  </si>
  <si>
    <r>
      <rPr>
        <sz val="10"/>
        <color rgb="FF222222"/>
        <rFont val="Arial"/>
        <family val="0"/>
        <charset val="1"/>
      </rPr>
      <t xml:space="preserve">vRA </t>
    </r>
    <r>
      <rPr>
        <sz val="10"/>
        <color rgb="FF222222"/>
        <rFont val="Noto Sans CJK SC"/>
        <family val="2"/>
      </rPr>
      <t xml:space="preserve">正常停止服務後關機</t>
    </r>
  </si>
  <si>
    <r>
      <rPr>
        <sz val="9.5"/>
        <color rgb="FF222222"/>
        <rFont val="Noto Sans CJK SC"/>
        <family val="2"/>
      </rPr>
      <t xml:space="preserve">主節點：</t>
    </r>
    <r>
      <rPr>
        <sz val="9.5"/>
        <color rgb="FF222222"/>
        <rFont val="Arial"/>
        <family val="0"/>
        <charset val="1"/>
      </rPr>
      <t xml:space="preserve">/opt/scripts/deploy.sh --shutdown → Guest shutdown </t>
    </r>
    <r>
      <rPr>
        <sz val="9.5"/>
        <color rgb="FF222222"/>
        <rFont val="Noto Sans CJK SC"/>
        <family val="2"/>
      </rPr>
      <t xml:space="preserve">各節點</t>
    </r>
  </si>
  <si>
    <r>
      <rPr>
        <sz val="10"/>
        <color rgb="FF222222"/>
        <rFont val="Noto Sans CJK SC"/>
        <family val="2"/>
      </rPr>
      <t xml:space="preserve">所有節點 </t>
    </r>
    <r>
      <rPr>
        <sz val="10"/>
        <color rgb="FF222222"/>
        <rFont val="Arial"/>
        <family val="0"/>
        <charset val="1"/>
      </rPr>
      <t xml:space="preserve">Powered off</t>
    </r>
  </si>
  <si>
    <t xml:space="preserve">TechDocs: Aria Automation 8.18 Start / Shut down</t>
  </si>
  <si>
    <t xml:space="preserve">S01-08</t>
  </si>
  <si>
    <r>
      <rPr>
        <sz val="10"/>
        <color rgb="FF222222"/>
        <rFont val="Arial"/>
        <family val="0"/>
        <charset val="1"/>
      </rPr>
      <t xml:space="preserve">vRO </t>
    </r>
    <r>
      <rPr>
        <sz val="10"/>
        <color rgb="FF222222"/>
        <rFont val="Noto Sans CJK SC"/>
        <family val="2"/>
      </rPr>
      <t xml:space="preserve">正常關機；確認各 </t>
    </r>
    <r>
      <rPr>
        <sz val="10"/>
        <color rgb="FF222222"/>
        <rFont val="Arial"/>
        <family val="0"/>
        <charset val="1"/>
      </rPr>
      <t xml:space="preserve">VM CD/DVD </t>
    </r>
    <r>
      <rPr>
        <sz val="10"/>
        <color rgb="FF222222"/>
        <rFont val="Noto Sans CJK SC"/>
        <family val="2"/>
      </rPr>
      <t xml:space="preserve">未掛 </t>
    </r>
    <r>
      <rPr>
        <sz val="10"/>
        <color rgb="FF222222"/>
        <rFont val="Arial"/>
        <family val="0"/>
        <charset val="1"/>
      </rPr>
      <t xml:space="preserve">datastore ISO</t>
    </r>
  </si>
  <si>
    <r>
      <rPr>
        <sz val="9.5"/>
        <color rgb="FF222222"/>
        <rFont val="Arial"/>
        <family val="0"/>
        <charset val="1"/>
      </rPr>
      <t xml:space="preserve">Guest shutdown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Edit Settings &gt; CD/DVD</t>
    </r>
  </si>
  <si>
    <r>
      <rPr>
        <sz val="10"/>
        <color rgb="FF222222"/>
        <rFont val="Arial"/>
        <family val="0"/>
        <charset val="1"/>
      </rPr>
      <t xml:space="preserve">Powered off</t>
    </r>
    <r>
      <rPr>
        <sz val="10"/>
        <color rgb="FF222222"/>
        <rFont val="Noto Sans CJK SC"/>
        <family val="2"/>
      </rPr>
      <t xml:space="preserve">、未掛 </t>
    </r>
    <r>
      <rPr>
        <sz val="10"/>
        <color rgb="FF222222"/>
        <rFont val="Arial"/>
        <family val="0"/>
        <charset val="1"/>
      </rPr>
      <t xml:space="preserve">ISO</t>
    </r>
  </si>
  <si>
    <t xml:space="preserve">S01-09</t>
  </si>
  <si>
    <r>
      <rPr>
        <sz val="10"/>
        <color rgb="FF222222"/>
        <rFont val="Arial"/>
        <family val="0"/>
        <charset val="1"/>
      </rPr>
      <t xml:space="preserve">Advanced Cross vCenter vMotion</t>
    </r>
    <r>
      <rPr>
        <sz val="10"/>
        <color rgb="FF222222"/>
        <rFont val="Noto Sans CJK SC"/>
        <family val="2"/>
      </rPr>
      <t xml:space="preserve">（關機狀態）：選 </t>
    </r>
    <r>
      <rPr>
        <sz val="10"/>
        <color rgb="FF222222"/>
        <rFont val="Arial"/>
        <family val="0"/>
        <charset val="1"/>
      </rPr>
      <t xml:space="preserve">mgmt cluster / datastore / </t>
    </r>
    <r>
      <rPr>
        <sz val="10"/>
        <color rgb="FF222222"/>
        <rFont val="Noto Sans CJK SC"/>
        <family val="2"/>
      </rPr>
      <t xml:space="preserve">同網段 </t>
    </r>
    <r>
      <rPr>
        <sz val="10"/>
        <color rgb="FF222222"/>
        <rFont val="Arial"/>
        <family val="0"/>
        <charset val="1"/>
      </rPr>
      <t xml:space="preserve">port group</t>
    </r>
    <r>
      <rPr>
        <sz val="10"/>
        <color rgb="FF222222"/>
        <rFont val="Noto Sans CJK SC"/>
        <family val="2"/>
      </rPr>
      <t xml:space="preserve">；可選 </t>
    </r>
    <r>
      <rPr>
        <sz val="10"/>
        <color rgb="FF222222"/>
        <rFont val="Arial"/>
        <family val="0"/>
        <charset val="1"/>
      </rPr>
      <t xml:space="preserve">Clone </t>
    </r>
    <r>
      <rPr>
        <sz val="10"/>
        <color rgb="FF222222"/>
        <rFont val="Noto Sans CJK SC"/>
        <family val="2"/>
      </rPr>
      <t xml:space="preserve">方式保留來源（來源保持關機）作為退版點</t>
    </r>
  </si>
  <si>
    <r>
      <rPr>
        <sz val="9.5"/>
        <color rgb="FF222222"/>
        <rFont val="Arial"/>
        <family val="0"/>
        <charset val="1"/>
      </rPr>
      <t xml:space="preserve">vSphere Client</t>
    </r>
    <r>
      <rPr>
        <sz val="9.5"/>
        <color rgb="FF222222"/>
        <rFont val="Noto Sans CJK SC"/>
        <family val="2"/>
      </rPr>
      <t xml:space="preserve">（目的 </t>
    </r>
    <r>
      <rPr>
        <sz val="9.5"/>
        <color rgb="FF222222"/>
        <rFont val="Arial"/>
        <family val="0"/>
        <charset val="1"/>
      </rPr>
      <t xml:space="preserve">vCenter</t>
    </r>
    <r>
      <rPr>
        <sz val="9.5"/>
        <color rgb="FF222222"/>
        <rFont val="Noto Sans CJK SC"/>
        <family val="2"/>
      </rPr>
      <t xml:space="preserve">）</t>
    </r>
    <r>
      <rPr>
        <sz val="9.5"/>
        <color rgb="FF222222"/>
        <rFont val="Arial"/>
        <family val="0"/>
        <charset val="1"/>
      </rPr>
      <t xml:space="preserve">&gt; Import VMs</t>
    </r>
    <r>
      <rPr>
        <sz val="9.5"/>
        <color rgb="FF222222"/>
        <rFont val="Noto Sans CJK SC"/>
        <family val="2"/>
      </rPr>
      <t xml:space="preserve">；或 </t>
    </r>
    <r>
      <rPr>
        <sz val="9.5"/>
        <color rgb="FF222222"/>
        <rFont val="Arial"/>
        <family val="0"/>
        <charset val="1"/>
      </rPr>
      <t xml:space="preserve">PowerCLI Move-VM</t>
    </r>
  </si>
  <si>
    <t xml:space="preserve">遷移成功</t>
  </si>
  <si>
    <t xml:space="preserve">S01-10</t>
  </si>
  <si>
    <r>
      <rPr>
        <sz val="10"/>
        <color rgb="FF222222"/>
        <rFont val="Noto Sans CJK SC"/>
        <family val="2"/>
      </rPr>
      <t xml:space="preserve">依相依性開機（</t>
    </r>
    <r>
      <rPr>
        <sz val="10"/>
        <color rgb="FF222222"/>
        <rFont val="Arial"/>
        <family val="0"/>
        <charset val="1"/>
      </rPr>
      <t xml:space="preserve">vRO → vRA </t>
    </r>
    <r>
      <rPr>
        <sz val="10"/>
        <color rgb="FF222222"/>
        <rFont val="Noto Sans CJK SC"/>
        <family val="2"/>
      </rPr>
      <t xml:space="preserve">全部節點），</t>
    </r>
    <r>
      <rPr>
        <sz val="10"/>
        <color rgb="FF222222"/>
        <rFont val="Arial"/>
        <family val="0"/>
        <charset val="1"/>
      </rPr>
      <t xml:space="preserve">vRA </t>
    </r>
    <r>
      <rPr>
        <sz val="10"/>
        <color rgb="FF222222"/>
        <rFont val="Noto Sans CJK SC"/>
        <family val="2"/>
      </rPr>
      <t xml:space="preserve">主節點啟動服務</t>
    </r>
  </si>
  <si>
    <t xml:space="preserve">/opt/scripts/deploy.sh</t>
  </si>
  <si>
    <t xml:space="preserve">服務啟動</t>
  </si>
  <si>
    <t xml:space="preserve">S01-11</t>
  </si>
  <si>
    <r>
      <rPr>
        <sz val="10"/>
        <color rgb="FF222222"/>
        <rFont val="Arial"/>
        <family val="0"/>
        <charset val="1"/>
      </rPr>
      <t xml:space="preserve">IP / FQDN / vApp properties </t>
    </r>
    <r>
      <rPr>
        <sz val="10"/>
        <color rgb="FF222222"/>
        <rFont val="Noto Sans CJK SC"/>
        <family val="2"/>
      </rPr>
      <t xml:space="preserve">不變（</t>
    </r>
    <r>
      <rPr>
        <sz val="10"/>
        <color rgb="FF222222"/>
        <rFont val="Arial"/>
        <family val="0"/>
        <charset val="1"/>
      </rPr>
      <t xml:space="preserve">ovfEnv </t>
    </r>
    <r>
      <rPr>
        <sz val="10"/>
        <color rgb="FF222222"/>
        <rFont val="Noto Sans CJK SC"/>
        <family val="2"/>
      </rPr>
      <t xml:space="preserve">存在）</t>
    </r>
  </si>
  <si>
    <t xml:space="preserve">cat /opt/vmware/etc/vami/ovfEnv.xml</t>
  </si>
  <si>
    <t xml:space="preserve">與遷移前一致</t>
  </si>
  <si>
    <t xml:space="preserve">S01-12</t>
  </si>
  <si>
    <r>
      <rPr>
        <sz val="10"/>
        <color rgb="FF222222"/>
        <rFont val="Noto Sans CJK SC"/>
        <family val="2"/>
      </rPr>
      <t xml:space="preserve">服務就緒：</t>
    </r>
    <r>
      <rPr>
        <sz val="10"/>
        <color rgb="FF222222"/>
        <rFont val="Arial"/>
        <family val="0"/>
        <charset val="1"/>
      </rPr>
      <t xml:space="preserve">healthstatus </t>
    </r>
    <r>
      <rPr>
        <sz val="10"/>
        <color rgb="FF222222"/>
        <rFont val="Noto Sans CJK SC"/>
        <family val="2"/>
      </rPr>
      <t xml:space="preserve">回 </t>
    </r>
    <r>
      <rPr>
        <sz val="10"/>
        <color rgb="FF222222"/>
        <rFont val="Arial"/>
        <family val="0"/>
        <charset val="1"/>
      </rPr>
      <t xml:space="preserve">200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pods </t>
    </r>
    <r>
      <rPr>
        <sz val="10"/>
        <color rgb="FF222222"/>
        <rFont val="Noto Sans CJK SC"/>
        <family val="2"/>
      </rPr>
      <t xml:space="preserve">全 </t>
    </r>
    <r>
      <rPr>
        <sz val="10"/>
        <color rgb="FF222222"/>
        <rFont val="Arial"/>
        <family val="0"/>
        <charset val="1"/>
      </rPr>
      <t xml:space="preserve">Running</t>
    </r>
    <r>
      <rPr>
        <sz val="10"/>
        <color rgb="FF222222"/>
        <rFont val="Noto Sans CJK SC"/>
        <family val="2"/>
      </rPr>
      <t xml:space="preserve">（約 </t>
    </r>
    <r>
      <rPr>
        <sz val="10"/>
        <color rgb="FF222222"/>
        <rFont val="Arial"/>
        <family val="0"/>
        <charset val="1"/>
      </rPr>
      <t xml:space="preserve">10–20 </t>
    </r>
    <r>
      <rPr>
        <sz val="10"/>
        <color rgb="FF222222"/>
        <rFont val="Noto Sans CJK SC"/>
        <family val="2"/>
      </rPr>
      <t xml:space="preserve">分）</t>
    </r>
  </si>
  <si>
    <t xml:space="preserve">curl -k https://&lt;vra-fqdn&gt;/vco/api/healthstatus</t>
  </si>
  <si>
    <t xml:space="preserve">HTTP 200</t>
  </si>
  <si>
    <t xml:space="preserve">S01-13</t>
  </si>
  <si>
    <r>
      <rPr>
        <sz val="10"/>
        <color rgb="FF222222"/>
        <rFont val="Arial"/>
        <family val="0"/>
        <charset val="1"/>
      </rPr>
      <t xml:space="preserve">vIDM </t>
    </r>
    <r>
      <rPr>
        <sz val="10"/>
        <color rgb="FF222222"/>
        <rFont val="Noto Sans CJK SC"/>
        <family val="2"/>
      </rPr>
      <t xml:space="preserve">登入、</t>
    </r>
    <r>
      <rPr>
        <sz val="10"/>
        <color rgb="FF222222"/>
        <rFont val="Arial"/>
        <family val="0"/>
        <charset val="1"/>
      </rPr>
      <t xml:space="preserve">cloud account data collection</t>
    </r>
    <r>
      <rPr>
        <sz val="10"/>
        <color rgb="FF222222"/>
        <rFont val="Noto Sans CJK SC"/>
        <family val="2"/>
      </rPr>
      <t xml:space="preserve">、既有部署 </t>
    </r>
    <r>
      <rPr>
        <sz val="10"/>
        <color rgb="FF222222"/>
        <rFont val="Arial"/>
        <family val="0"/>
        <charset val="1"/>
      </rPr>
      <t xml:space="preserve">Day-2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Power off/on</t>
    </r>
    <r>
      <rPr>
        <sz val="10"/>
        <color rgb="FF222222"/>
        <rFont val="Noto Sans CJK SC"/>
        <family val="2"/>
      </rPr>
      <t xml:space="preserve">）、新 </t>
    </r>
    <r>
      <rPr>
        <sz val="10"/>
        <color rgb="FF222222"/>
        <rFont val="Arial"/>
        <family val="0"/>
        <charset val="1"/>
      </rPr>
      <t xml:space="preserve">catalog </t>
    </r>
    <r>
      <rPr>
        <sz val="10"/>
        <color rgb="FF222222"/>
        <rFont val="Noto Sans CJK SC"/>
        <family val="2"/>
      </rPr>
      <t xml:space="preserve">請求、</t>
    </r>
    <r>
      <rPr>
        <sz val="10"/>
        <color rgb="FF222222"/>
        <rFont val="Arial"/>
        <family val="0"/>
        <charset val="1"/>
      </rPr>
      <t xml:space="preserve">vRO workflow </t>
    </r>
    <r>
      <rPr>
        <sz val="10"/>
        <color rgb="FF222222"/>
        <rFont val="Noto Sans CJK SC"/>
        <family val="2"/>
      </rPr>
      <t xml:space="preserve">測試</t>
    </r>
  </si>
  <si>
    <t xml:space="preserve">Cloud Assembly / Service Broker / vRO Client</t>
  </si>
  <si>
    <t xml:space="preserve">全部成功</t>
  </si>
  <si>
    <t xml:space="preserve">S01-14</t>
  </si>
  <si>
    <r>
      <rPr>
        <sz val="10"/>
        <color rgb="FF222222"/>
        <rFont val="Noto Sans CJK SC"/>
        <family val="2"/>
      </rPr>
      <t xml:space="preserve">反向冷遷移回中信雲；或刪除新 </t>
    </r>
    <r>
      <rPr>
        <sz val="10"/>
        <color rgb="FF222222"/>
        <rFont val="Arial"/>
        <family val="0"/>
        <charset val="1"/>
      </rPr>
      <t xml:space="preserve">VM</t>
    </r>
    <r>
      <rPr>
        <sz val="10"/>
        <color rgb="FF222222"/>
        <rFont val="Noto Sans CJK SC"/>
        <family val="2"/>
      </rPr>
      <t xml:space="preserve">、開回 </t>
    </r>
    <r>
      <rPr>
        <sz val="10"/>
        <color rgb="FF222222"/>
        <rFont val="Arial"/>
        <family val="0"/>
        <charset val="1"/>
      </rPr>
      <t xml:space="preserve">Clone </t>
    </r>
    <r>
      <rPr>
        <sz val="10"/>
        <color rgb="FF222222"/>
        <rFont val="Noto Sans CJK SC"/>
        <family val="2"/>
      </rPr>
      <t xml:space="preserve">保留的來源</t>
    </r>
  </si>
  <si>
    <t xml:space="preserve">回到遷移前狀態</t>
  </si>
  <si>
    <t xml:space="preserve">S01-15</t>
  </si>
  <si>
    <r>
      <rPr>
        <b val="true"/>
        <sz val="10"/>
        <color rgb="FFA6192E"/>
        <rFont val="Noto Sans CJK SC"/>
        <family val="2"/>
      </rPr>
      <t xml:space="preserve">截止點：</t>
    </r>
    <r>
      <rPr>
        <b val="true"/>
        <sz val="10"/>
        <color rgb="FFA6192E"/>
        <rFont val="Arial"/>
        <family val="0"/>
        <charset val="1"/>
      </rPr>
      <t xml:space="preserve">S05 Import </t>
    </r>
    <r>
      <rPr>
        <b val="true"/>
        <sz val="10"/>
        <color rgb="FFA6192E"/>
        <rFont val="Noto Sans CJK SC"/>
        <family val="2"/>
      </rPr>
      <t xml:space="preserve">之前</t>
    </r>
  </si>
  <si>
    <t xml:space="preserve">#3</t>
  </si>
  <si>
    <r>
      <rPr>
        <b val="true"/>
        <sz val="10.5"/>
        <color rgb="FFFFFFFF"/>
        <rFont val="Arial"/>
        <family val="0"/>
        <charset val="1"/>
      </rPr>
      <t xml:space="preserve">S02</t>
    </r>
    <r>
      <rPr>
        <b val="true"/>
        <sz val="10.5"/>
        <color rgb="FFFFFFFF"/>
        <rFont val="Noto Sans CJK SC"/>
        <family val="2"/>
      </rPr>
      <t xml:space="preserve">｜</t>
    </r>
    <r>
      <rPr>
        <b val="true"/>
        <sz val="10.5"/>
        <color rgb="FFFFFFFF"/>
        <rFont val="Arial"/>
        <family val="0"/>
        <charset val="1"/>
      </rPr>
      <t xml:space="preserve">Deploy VCF Installer 9.1.1</t>
    </r>
    <r>
      <rPr>
        <b val="true"/>
        <sz val="10.5"/>
        <color rgb="FFFFFFFF"/>
        <rFont val="Noto Sans CJK SC"/>
        <family val="2"/>
      </rPr>
      <t xml:space="preserve">｜部署 </t>
    </r>
    <r>
      <rPr>
        <b val="true"/>
        <sz val="10.5"/>
        <color rgb="FFFFFFFF"/>
        <rFont val="Arial"/>
        <family val="0"/>
        <charset val="1"/>
      </rPr>
      <t xml:space="preserve">VCF Installer 9.1.1</t>
    </r>
    <r>
      <rPr>
        <b val="true"/>
        <sz val="10.5"/>
        <color rgb="FFFFFFFF"/>
        <rFont val="Noto Sans CJK SC"/>
        <family val="2"/>
      </rPr>
      <t xml:space="preserve">｜負責：</t>
    </r>
    <r>
      <rPr>
        <b val="true"/>
        <sz val="10.5"/>
        <color rgb="FFFFFFFF"/>
        <rFont val="Arial"/>
        <family val="0"/>
        <charset val="1"/>
      </rPr>
      <t xml:space="preserve">ENG</t>
    </r>
  </si>
  <si>
    <t xml:space="preserve">S02-01</t>
  </si>
  <si>
    <r>
      <rPr>
        <sz val="10"/>
        <color rgb="FF222222"/>
        <rFont val="Arial"/>
        <family val="0"/>
        <charset val="1"/>
      </rPr>
      <t xml:space="preserve">Installer </t>
    </r>
    <r>
      <rPr>
        <sz val="10"/>
        <color rgb="FF222222"/>
        <rFont val="Noto Sans CJK SC"/>
        <family val="2"/>
      </rPr>
      <t xml:space="preserve">版本 ≥ </t>
    </r>
    <r>
      <rPr>
        <sz val="10"/>
        <color rgb="FF222222"/>
        <rFont val="Arial"/>
        <family val="0"/>
        <charset val="1"/>
      </rPr>
      <t xml:space="preserve">9.1.1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converge </t>
    </r>
    <r>
      <rPr>
        <sz val="10"/>
        <color rgb="FF222222"/>
        <rFont val="Noto Sans CJK SC"/>
        <family val="2"/>
      </rPr>
      <t xml:space="preserve">文件要求），與 </t>
    </r>
    <r>
      <rPr>
        <sz val="10"/>
        <color rgb="FF222222"/>
        <rFont val="Arial"/>
        <family val="0"/>
        <charset val="1"/>
      </rPr>
      <t xml:space="preserve">vCenter / ESXi </t>
    </r>
    <r>
      <rPr>
        <sz val="10"/>
        <color rgb="FF222222"/>
        <rFont val="Noto Sans CJK SC"/>
        <family val="2"/>
      </rPr>
      <t xml:space="preserve">同為 </t>
    </r>
    <r>
      <rPr>
        <sz val="10"/>
        <color rgb="FF222222"/>
        <rFont val="Arial"/>
        <family val="0"/>
        <charset val="1"/>
      </rPr>
      <t xml:space="preserve">9.1.1 BOM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Installer build 25713928</t>
    </r>
    <r>
      <rPr>
        <sz val="10"/>
        <color rgb="FF222222"/>
        <rFont val="Noto Sans CJK SC"/>
        <family val="2"/>
      </rPr>
      <t xml:space="preserve">）</t>
    </r>
  </si>
  <si>
    <t xml:space="preserve">版本正確</t>
  </si>
  <si>
    <r>
      <rPr>
        <sz val="9.5"/>
        <color rgb="FF222222"/>
        <rFont val="Arial"/>
        <family val="0"/>
        <charset val="1"/>
      </rPr>
      <t xml:space="preserve">TechDocs: Deploy Components by Using VCF Installer…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VCF 9.1.1 BOM</t>
    </r>
  </si>
  <si>
    <t xml:space="preserve">S02-02</t>
  </si>
  <si>
    <r>
      <rPr>
        <sz val="10"/>
        <color rgb="FF222222"/>
        <rFont val="Arial"/>
        <family val="0"/>
        <charset val="1"/>
      </rPr>
      <t xml:space="preserve">Installer IP / FQDN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A/PTR</t>
    </r>
    <r>
      <rPr>
        <sz val="10"/>
        <color rgb="FF222222"/>
        <rFont val="Noto Sans CJK SC"/>
        <family val="2"/>
      </rPr>
      <t xml:space="preserve">）、</t>
    </r>
    <r>
      <rPr>
        <sz val="10"/>
        <color rgb="FF222222"/>
        <rFont val="Arial"/>
        <family val="0"/>
        <charset val="1"/>
      </rPr>
      <t xml:space="preserve">NTP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DNS </t>
    </r>
    <r>
      <rPr>
        <sz val="10"/>
        <color rgb="FF222222"/>
        <rFont val="Noto Sans CJK SC"/>
        <family val="2"/>
      </rPr>
      <t xml:space="preserve">就緒</t>
    </r>
  </si>
  <si>
    <t xml:space="preserve">nslookup</t>
  </si>
  <si>
    <t xml:space="preserve">正反解正確</t>
  </si>
  <si>
    <t xml:space="preserve">S02-03</t>
  </si>
  <si>
    <r>
      <rPr>
        <sz val="10"/>
        <color rgb="FF222222"/>
        <rFont val="Noto Sans CJK SC"/>
        <family val="2"/>
      </rPr>
      <t xml:space="preserve">使用全新 </t>
    </r>
    <r>
      <rPr>
        <sz val="10"/>
        <color rgb="FF222222"/>
        <rFont val="Arial"/>
        <family val="0"/>
        <charset val="1"/>
      </rPr>
      <t xml:space="preserve">Installer</t>
    </r>
    <r>
      <rPr>
        <sz val="10"/>
        <color rgb="FF222222"/>
        <rFont val="Noto Sans CJK SC"/>
        <family val="2"/>
      </rPr>
      <t xml:space="preserve">（做過 </t>
    </r>
    <r>
      <rPr>
        <sz val="10"/>
        <color rgb="FF222222"/>
        <rFont val="Arial"/>
        <family val="0"/>
        <charset val="1"/>
      </rPr>
      <t xml:space="preserve">bring-up / converge </t>
    </r>
    <r>
      <rPr>
        <sz val="10"/>
        <color rgb="FF222222"/>
        <rFont val="Noto Sans CJK SC"/>
        <family val="2"/>
      </rPr>
      <t xml:space="preserve">的 </t>
    </r>
    <r>
      <rPr>
        <sz val="10"/>
        <color rgb="FF222222"/>
        <rFont val="Arial"/>
        <family val="0"/>
        <charset val="1"/>
      </rPr>
      <t xml:space="preserve">Installer </t>
    </r>
    <r>
      <rPr>
        <sz val="10"/>
        <color rgb="FF222222"/>
        <rFont val="Noto Sans CJK SC"/>
        <family val="2"/>
      </rPr>
      <t xml:space="preserve">會記得舊 </t>
    </r>
    <r>
      <rPr>
        <sz val="10"/>
        <color rgb="FF222222"/>
        <rFont val="Arial"/>
        <family val="0"/>
        <charset val="1"/>
      </rPr>
      <t xml:space="preserve">domain</t>
    </r>
    <r>
      <rPr>
        <sz val="10"/>
        <color rgb="FF222222"/>
        <rFont val="Noto Sans CJK SC"/>
        <family val="2"/>
      </rPr>
      <t xml:space="preserve">）</t>
    </r>
  </si>
  <si>
    <t xml:space="preserve">GET https://&lt;installer&gt;/v1/sddcs</t>
  </si>
  <si>
    <r>
      <rPr>
        <sz val="10"/>
        <color rgb="FF222222"/>
        <rFont val="Noto Sans CJK SC"/>
        <family val="2"/>
      </rPr>
      <t xml:space="preserve">回 </t>
    </r>
    <r>
      <rPr>
        <sz val="10"/>
        <color rgb="FF222222"/>
        <rFont val="Arial"/>
        <family val="0"/>
        <charset val="1"/>
      </rPr>
      <t xml:space="preserve">[]</t>
    </r>
  </si>
  <si>
    <t xml:space="preserve">S02-04</t>
  </si>
  <si>
    <r>
      <rPr>
        <sz val="10"/>
        <color rgb="FF222222"/>
        <rFont val="Noto Sans CJK SC"/>
        <family val="2"/>
      </rPr>
      <t xml:space="preserve">部署 </t>
    </r>
    <r>
      <rPr>
        <sz val="10"/>
        <color rgb="FF222222"/>
        <rFont val="Arial"/>
        <family val="0"/>
        <charset val="1"/>
      </rPr>
      <t xml:space="preserve">OVA</t>
    </r>
    <r>
      <rPr>
        <sz val="10"/>
        <color rgb="FF222222"/>
        <rFont val="Noto Sans CJK SC"/>
        <family val="2"/>
      </rPr>
      <t xml:space="preserve">（可放在 </t>
    </r>
    <r>
      <rPr>
        <sz val="10"/>
        <color rgb="FF222222"/>
        <rFont val="Arial"/>
        <family val="0"/>
        <charset val="1"/>
      </rPr>
      <t xml:space="preserve">Management Cluster</t>
    </r>
    <r>
      <rPr>
        <sz val="10"/>
        <color rgb="FF222222"/>
        <rFont val="Noto Sans CJK SC"/>
        <family val="2"/>
      </rPr>
      <t xml:space="preserve">）；</t>
    </r>
    <r>
      <rPr>
        <sz val="10"/>
        <color rgb="FF222222"/>
        <rFont val="Arial"/>
        <family val="0"/>
        <charset val="1"/>
      </rPr>
      <t xml:space="preserve">admin@local </t>
    </r>
    <r>
      <rPr>
        <sz val="10"/>
        <color rgb="FF222222"/>
        <rFont val="Noto Sans CJK SC"/>
        <family val="2"/>
      </rPr>
      <t xml:space="preserve">密碼由密碼保管工具管理，不寫入文件</t>
    </r>
  </si>
  <si>
    <t xml:space="preserve">vSphere Client &gt; Deploy OVF Template</t>
  </si>
  <si>
    <t xml:space="preserve">Powered on</t>
  </si>
  <si>
    <t xml:space="preserve">S02-05</t>
  </si>
  <si>
    <r>
      <rPr>
        <sz val="10"/>
        <color rgb="FF222222"/>
        <rFont val="Arial"/>
        <family val="0"/>
        <charset val="1"/>
      </rPr>
      <t xml:space="preserve">UI </t>
    </r>
    <r>
      <rPr>
        <sz val="10"/>
        <color rgb="FF222222"/>
        <rFont val="Noto Sans CJK SC"/>
        <family val="2"/>
      </rPr>
      <t xml:space="preserve">可登入、版本正確</t>
    </r>
  </si>
  <si>
    <t xml:space="preserve">https://&lt;installer-fqdn&gt;</t>
  </si>
  <si>
    <t xml:space="preserve">9.1.1</t>
  </si>
  <si>
    <t xml:space="preserve">S02-06</t>
  </si>
  <si>
    <r>
      <rPr>
        <sz val="10"/>
        <color rgb="FF222222"/>
        <rFont val="Noto Sans CJK SC"/>
        <family val="2"/>
      </rPr>
      <t xml:space="preserve">刪除 </t>
    </r>
    <r>
      <rPr>
        <sz val="10"/>
        <color rgb="FF222222"/>
        <rFont val="Arial"/>
        <family val="0"/>
        <charset val="1"/>
      </rPr>
      <t xml:space="preserve">Installer VM</t>
    </r>
    <r>
      <rPr>
        <sz val="10"/>
        <color rgb="FF222222"/>
        <rFont val="Noto Sans CJK SC"/>
        <family val="2"/>
      </rPr>
      <t xml:space="preserve">（不影響既有環境）</t>
    </r>
  </si>
  <si>
    <t xml:space="preserve">#4</t>
  </si>
  <si>
    <r>
      <rPr>
        <b val="true"/>
        <sz val="10.5"/>
        <color rgb="FFFFFFFF"/>
        <rFont val="Arial"/>
        <family val="0"/>
        <charset val="1"/>
      </rPr>
      <t xml:space="preserve">S03</t>
    </r>
    <r>
      <rPr>
        <b val="true"/>
        <sz val="10.5"/>
        <color rgb="FFFFFFFF"/>
        <rFont val="Noto Sans CJK SC"/>
        <family val="2"/>
      </rPr>
      <t xml:space="preserve">｜</t>
    </r>
    <r>
      <rPr>
        <b val="true"/>
        <sz val="10.5"/>
        <color rgb="FFFFFFFF"/>
        <rFont val="Arial"/>
        <family val="0"/>
        <charset val="1"/>
      </rPr>
      <t xml:space="preserve">Software Depot &amp; Binaries</t>
    </r>
    <r>
      <rPr>
        <b val="true"/>
        <sz val="10.5"/>
        <color rgb="FFFFFFFF"/>
        <rFont val="Noto Sans CJK SC"/>
        <family val="2"/>
      </rPr>
      <t xml:space="preserve">｜</t>
    </r>
    <r>
      <rPr>
        <b val="true"/>
        <sz val="10.5"/>
        <color rgb="FFFFFFFF"/>
        <rFont val="Arial"/>
        <family val="0"/>
        <charset val="1"/>
      </rPr>
      <t xml:space="preserve">Depot </t>
    </r>
    <r>
      <rPr>
        <b val="true"/>
        <sz val="10.5"/>
        <color rgb="FFFFFFFF"/>
        <rFont val="Noto Sans CJK SC"/>
        <family val="2"/>
      </rPr>
      <t xml:space="preserve">與 </t>
    </r>
    <r>
      <rPr>
        <b val="true"/>
        <sz val="10.5"/>
        <color rgb="FFFFFFFF"/>
        <rFont val="Arial"/>
        <family val="0"/>
        <charset val="1"/>
      </rPr>
      <t xml:space="preserve">Binaries</t>
    </r>
    <r>
      <rPr>
        <b val="true"/>
        <sz val="10.5"/>
        <color rgb="FFFFFFFF"/>
        <rFont val="Noto Sans CJK SC"/>
        <family val="2"/>
      </rPr>
      <t xml:space="preserve">（回答「</t>
    </r>
    <r>
      <rPr>
        <b val="true"/>
        <sz val="10.5"/>
        <color rgb="FFFFFFFF"/>
        <rFont val="Arial"/>
        <family val="0"/>
        <charset val="1"/>
      </rPr>
      <t xml:space="preserve">Offline Depot???</t>
    </r>
    <r>
      <rPr>
        <b val="true"/>
        <sz val="10.5"/>
        <color rgb="FFFFFFFF"/>
        <rFont val="Noto Sans CJK SC"/>
        <family val="2"/>
      </rPr>
      <t xml:space="preserve">」）｜負責：</t>
    </r>
    <r>
      <rPr>
        <b val="true"/>
        <sz val="10.5"/>
        <color rgb="FFFFFFFF"/>
        <rFont val="Arial"/>
        <family val="0"/>
        <charset val="1"/>
      </rPr>
      <t xml:space="preserve">ENG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NET</t>
    </r>
  </si>
  <si>
    <t xml:space="preserve">S03-01</t>
  </si>
  <si>
    <r>
      <rPr>
        <sz val="10"/>
        <color rgb="FF222222"/>
        <rFont val="Noto Sans CJK SC"/>
        <family val="2"/>
      </rPr>
      <t xml:space="preserve">三種模式擇一：</t>
    </r>
    <r>
      <rPr>
        <sz val="10"/>
        <color rgb="FF222222"/>
        <rFont val="Arial"/>
        <family val="0"/>
        <charset val="1"/>
      </rPr>
      <t xml:space="preserve">Online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activation code + proxy</t>
    </r>
    <r>
      <rPr>
        <sz val="10"/>
        <color rgb="FF222222"/>
        <rFont val="Noto Sans CJK SC"/>
        <family val="2"/>
      </rPr>
      <t xml:space="preserve">）／</t>
    </r>
    <r>
      <rPr>
        <sz val="10"/>
        <color rgb="FF222222"/>
        <rFont val="Arial"/>
        <family val="0"/>
        <charset val="1"/>
      </rPr>
      <t xml:space="preserve">Offline Depot</t>
    </r>
    <r>
      <rPr>
        <sz val="10"/>
        <color rgb="FF222222"/>
        <rFont val="Noto Sans CJK SC"/>
        <family val="2"/>
      </rPr>
      <t xml:space="preserve">（自建 </t>
    </r>
    <r>
      <rPr>
        <sz val="10"/>
        <color rgb="FF222222"/>
        <rFont val="Arial"/>
        <family val="0"/>
        <charset val="1"/>
      </rPr>
      <t xml:space="preserve">web server + VCF Download Tool</t>
    </r>
    <r>
      <rPr>
        <sz val="10"/>
        <color rgb="FF222222"/>
        <rFont val="Noto Sans CJK SC"/>
        <family val="2"/>
      </rPr>
      <t xml:space="preserve">）／</t>
    </r>
    <r>
      <rPr>
        <sz val="10"/>
        <color rgb="FF222222"/>
        <rFont val="Arial"/>
        <family val="0"/>
        <charset val="1"/>
      </rPr>
      <t xml:space="preserve">Manual Transfer</t>
    </r>
    <r>
      <rPr>
        <sz val="10"/>
        <color rgb="FF222222"/>
        <rFont val="Noto Sans CJK SC"/>
        <family val="2"/>
      </rPr>
      <t xml:space="preserve">（下載後上傳 </t>
    </r>
    <r>
      <rPr>
        <sz val="10"/>
        <color rgb="FF222222"/>
        <rFont val="Arial"/>
        <family val="0"/>
        <charset val="1"/>
      </rPr>
      <t xml:space="preserve">Installer</t>
    </r>
    <r>
      <rPr>
        <sz val="10"/>
        <color rgb="FF222222"/>
        <rFont val="Noto Sans CJK SC"/>
        <family val="2"/>
      </rPr>
      <t xml:space="preserve">）</t>
    </r>
  </si>
  <si>
    <t xml:space="preserve">已決策</t>
  </si>
  <si>
    <t xml:space="preserve">TechDocs: Downloading Binaries to VCF Installer</t>
  </si>
  <si>
    <t xml:space="preserve">S03-02</t>
  </si>
  <si>
    <r>
      <rPr>
        <sz val="10"/>
        <color rgb="FF222222"/>
        <rFont val="Noto Sans CJK SC"/>
        <family val="2"/>
      </rPr>
      <t xml:space="preserve">建議 </t>
    </r>
    <r>
      <rPr>
        <sz val="10"/>
        <color rgb="FF222222"/>
        <rFont val="Arial"/>
        <family val="0"/>
        <charset val="1"/>
      </rPr>
      <t xml:space="preserve">Offline Depot</t>
    </r>
    <r>
      <rPr>
        <sz val="10"/>
        <color rgb="FF222222"/>
        <rFont val="Noto Sans CJK SC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Installer </t>
    </r>
    <r>
      <rPr>
        <sz val="10"/>
        <color rgb="FF222222"/>
        <rFont val="Noto Sans CJK SC"/>
        <family val="2"/>
      </rPr>
      <t xml:space="preserve">內下載的 </t>
    </r>
    <r>
      <rPr>
        <sz val="10"/>
        <color rgb="FF222222"/>
        <rFont val="Arial"/>
        <family val="0"/>
        <charset val="1"/>
      </rPr>
      <t xml:space="preserve">binaries </t>
    </r>
    <r>
      <rPr>
        <sz val="10"/>
        <color rgb="FF222222"/>
        <rFont val="Noto Sans CJK SC"/>
        <family val="2"/>
      </rPr>
      <t xml:space="preserve">不會轉給部署後的 </t>
    </r>
    <r>
      <rPr>
        <sz val="10"/>
        <color rgb="FF222222"/>
        <rFont val="Arial"/>
        <family val="0"/>
        <charset val="1"/>
      </rPr>
      <t xml:space="preserve">Software Depot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VCFA </t>
    </r>
    <r>
      <rPr>
        <sz val="10"/>
        <color rgb="FF222222"/>
        <rFont val="Noto Sans CJK SC"/>
        <family val="2"/>
      </rPr>
      <t xml:space="preserve">與 </t>
    </r>
    <r>
      <rPr>
        <sz val="10"/>
        <color rgb="FF222222"/>
        <rFont val="Arial"/>
        <family val="0"/>
        <charset val="1"/>
      </rPr>
      <t xml:space="preserve">WLD </t>
    </r>
    <r>
      <rPr>
        <sz val="10"/>
        <color rgb="FF222222"/>
        <rFont val="Noto Sans CJK SC"/>
        <family val="2"/>
      </rPr>
      <t xml:space="preserve">升級還要再用</t>
    </r>
  </si>
  <si>
    <r>
      <rPr>
        <sz val="9.5"/>
        <color rgb="FF222222"/>
        <rFont val="Arial"/>
        <family val="0"/>
        <charset val="1"/>
      </rPr>
      <t xml:space="preserve">TechDocs: Connect VCF Installer to Broadcom or an Offline Depot</t>
    </r>
    <r>
      <rPr>
        <sz val="9.5"/>
        <color rgb="FF222222"/>
        <rFont val="Noto Sans CJK SC"/>
        <family val="2"/>
      </rPr>
      <t xml:space="preserve">（</t>
    </r>
    <r>
      <rPr>
        <sz val="9.5"/>
        <color rgb="FF222222"/>
        <rFont val="Arial"/>
        <family val="0"/>
        <charset val="1"/>
      </rPr>
      <t xml:space="preserve">not transferred</t>
    </r>
    <r>
      <rPr>
        <sz val="9.5"/>
        <color rgb="FF222222"/>
        <rFont val="Noto Sans CJK SC"/>
        <family val="2"/>
      </rPr>
      <t xml:space="preserve">）</t>
    </r>
  </si>
  <si>
    <t xml:space="preserve">S03-03</t>
  </si>
  <si>
    <r>
      <rPr>
        <sz val="10"/>
        <color rgb="FF222222"/>
        <rFont val="Noto Sans CJK SC"/>
        <family val="2"/>
      </rPr>
      <t xml:space="preserve">無 </t>
    </r>
    <r>
      <rPr>
        <sz val="10"/>
        <color rgb="FF222222"/>
        <rFont val="Arial"/>
        <family val="0"/>
        <charset val="1"/>
      </rPr>
      <t xml:space="preserve">Internet </t>
    </r>
    <r>
      <rPr>
        <sz val="10"/>
        <color rgb="FF222222"/>
        <rFont val="Noto Sans CJK SC"/>
        <family val="2"/>
      </rPr>
      <t xml:space="preserve">時，</t>
    </r>
    <r>
      <rPr>
        <sz val="10"/>
        <color rgb="FF222222"/>
        <rFont val="Arial"/>
        <family val="0"/>
        <charset val="1"/>
      </rPr>
      <t xml:space="preserve">VCF Download Tool </t>
    </r>
    <r>
      <rPr>
        <sz val="10"/>
        <color rgb="FF222222"/>
        <rFont val="Noto Sans CJK SC"/>
        <family val="2"/>
      </rPr>
      <t xml:space="preserve">是唯一支援的下載方式 → 準備可上網下載機 </t>
    </r>
    <r>
      <rPr>
        <sz val="10"/>
        <color rgb="FF222222"/>
        <rFont val="Arial"/>
        <family val="0"/>
        <charset val="1"/>
      </rPr>
      <t xml:space="preserve">+ activation code</t>
    </r>
  </si>
  <si>
    <t xml:space="preserve">TechDocs: Manual Transfer</t>
  </si>
  <si>
    <t xml:space="preserve">S03-04</t>
  </si>
  <si>
    <r>
      <rPr>
        <sz val="10"/>
        <color rgb="FF222222"/>
        <rFont val="Arial"/>
        <family val="0"/>
        <charset val="1"/>
      </rPr>
      <t xml:space="preserve">Depot server</t>
    </r>
    <r>
      <rPr>
        <sz val="10"/>
        <color rgb="FF222222"/>
        <rFont val="Noto Sans CJK SC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HTTPS</t>
    </r>
    <r>
      <rPr>
        <sz val="10"/>
        <color rgb="FF222222"/>
        <rFont val="Noto Sans CJK SC"/>
        <family val="2"/>
      </rPr>
      <t xml:space="preserve">、憑證 </t>
    </r>
    <r>
      <rPr>
        <sz val="10"/>
        <color rgb="FF222222"/>
        <rFont val="Arial"/>
        <family val="0"/>
        <charset val="1"/>
      </rPr>
      <t xml:space="preserve">SAN </t>
    </r>
    <r>
      <rPr>
        <sz val="10"/>
        <color rgb="FF222222"/>
        <rFont val="Noto Sans CJK SC"/>
        <family val="2"/>
      </rPr>
      <t xml:space="preserve">含 </t>
    </r>
    <r>
      <rPr>
        <sz val="10"/>
        <color rgb="FF222222"/>
        <rFont val="Arial"/>
        <family val="0"/>
        <charset val="1"/>
      </rPr>
      <t xml:space="preserve">FQDN + IP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Installer / SDDC Manager / VCF Ops </t>
    </r>
    <r>
      <rPr>
        <sz val="10"/>
        <color rgb="FF222222"/>
        <rFont val="Noto Sans CJK SC"/>
        <family val="2"/>
      </rPr>
      <t xml:space="preserve">匯入 </t>
    </r>
    <r>
      <rPr>
        <sz val="10"/>
        <color rgb="FF222222"/>
        <rFont val="Arial"/>
        <family val="0"/>
        <charset val="1"/>
      </rPr>
      <t xml:space="preserve">depot CA</t>
    </r>
  </si>
  <si>
    <t xml:space="preserve">openssl s_client -connect &lt;depot&gt;:443</t>
  </si>
  <si>
    <r>
      <rPr>
        <sz val="10"/>
        <color rgb="FF222222"/>
        <rFont val="Arial"/>
        <family val="0"/>
        <charset val="1"/>
      </rPr>
      <t xml:space="preserve">SAN </t>
    </r>
    <r>
      <rPr>
        <sz val="10"/>
        <color rgb="FF222222"/>
        <rFont val="Noto Sans CJK SC"/>
        <family val="2"/>
      </rPr>
      <t xml:space="preserve">含 </t>
    </r>
    <r>
      <rPr>
        <sz val="10"/>
        <color rgb="FF222222"/>
        <rFont val="Arial"/>
        <family val="0"/>
        <charset val="1"/>
      </rPr>
      <t xml:space="preserve">FQDN </t>
    </r>
    <r>
      <rPr>
        <sz val="10"/>
        <color rgb="FF222222"/>
        <rFont val="Noto Sans CJK SC"/>
        <family val="2"/>
      </rPr>
      <t xml:space="preserve">與 </t>
    </r>
    <r>
      <rPr>
        <sz val="10"/>
        <color rgb="FF222222"/>
        <rFont val="Arial"/>
        <family val="0"/>
        <charset val="1"/>
      </rPr>
      <t xml:space="preserve">IP</t>
    </r>
  </si>
  <si>
    <t xml:space="preserve">S03-05</t>
  </si>
  <si>
    <r>
      <rPr>
        <sz val="10"/>
        <color rgb="FF222222"/>
        <rFont val="Noto Sans CJK SC"/>
        <family val="2"/>
      </rPr>
      <t xml:space="preserve">下載 </t>
    </r>
    <r>
      <rPr>
        <sz val="10"/>
        <color rgb="FF222222"/>
        <rFont val="Arial"/>
        <family val="0"/>
        <charset val="1"/>
      </rPr>
      <t xml:space="preserve">converge INSTALL binaries</t>
    </r>
    <r>
      <rPr>
        <sz val="10"/>
        <color rgb="FF222222"/>
        <rFont val="Noto Sans CJK SC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SDDC Manager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NSX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VCF Operations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Cloud proxy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License server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Fleet / SDDC lifecycle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Salt master / RaaS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Software depot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Telemetry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Identity broker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VCF services runtime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Migration service engine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VCF Automation</t>
    </r>
  </si>
  <si>
    <t xml:space="preserve">vcf-download-tool binaries download …</t>
  </si>
  <si>
    <t xml:space="preserve">下載完成</t>
  </si>
  <si>
    <t xml:space="preserve">S03-06</t>
  </si>
  <si>
    <r>
      <rPr>
        <sz val="10"/>
        <color rgb="FF222222"/>
        <rFont val="Noto Sans CJK SC"/>
        <family val="2"/>
      </rPr>
      <t xml:space="preserve">下載 </t>
    </r>
    <r>
      <rPr>
        <sz val="10"/>
        <color rgb="FF222222"/>
        <rFont val="Arial"/>
        <family val="0"/>
        <charset val="1"/>
      </rPr>
      <t xml:space="preserve">vRA </t>
    </r>
    <r>
      <rPr>
        <sz val="10"/>
        <color rgb="FF222222"/>
        <rFont val="Noto Sans CJK SC"/>
        <family val="2"/>
      </rPr>
      <t xml:space="preserve">升級用：</t>
    </r>
    <r>
      <rPr>
        <sz val="10"/>
        <color rgb="FF222222"/>
        <rFont val="Arial"/>
        <family val="0"/>
        <charset val="1"/>
      </rPr>
      <t xml:space="preserve">VCF Automation 9.1.1 + Migration service engine 9.1.1</t>
    </r>
  </si>
  <si>
    <t xml:space="preserve">S03-07</t>
  </si>
  <si>
    <r>
      <rPr>
        <sz val="10"/>
        <color rgb="FF222222"/>
        <rFont val="Noto Sans CJK SC"/>
        <family val="2"/>
      </rPr>
      <t xml:space="preserve">下載 </t>
    </r>
    <r>
      <rPr>
        <sz val="10"/>
        <color rgb="FF222222"/>
        <rFont val="Arial"/>
        <family val="0"/>
        <charset val="1"/>
      </rPr>
      <t xml:space="preserve">WLD </t>
    </r>
    <r>
      <rPr>
        <sz val="10"/>
        <color rgb="FF222222"/>
        <rFont val="Noto Sans CJK SC"/>
        <family val="2"/>
      </rPr>
      <t xml:space="preserve">升級用：</t>
    </r>
    <r>
      <rPr>
        <sz val="10"/>
        <color rgb="FF222222"/>
        <rFont val="Arial"/>
        <family val="0"/>
        <charset val="1"/>
      </rPr>
      <t xml:space="preserve">vCenter / ESX 9.1.1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--type UPGRADE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esx download</t>
    </r>
    <r>
      <rPr>
        <sz val="10"/>
        <color rgb="FF222222"/>
        <rFont val="Noto Sans CJK SC"/>
        <family val="2"/>
      </rPr>
      <t xml:space="preserve">）；若走方案 </t>
    </r>
    <r>
      <rPr>
        <sz val="10"/>
        <color rgb="FF222222"/>
        <rFont val="Arial"/>
        <family val="0"/>
        <charset val="1"/>
      </rPr>
      <t xml:space="preserve">A</t>
    </r>
    <r>
      <rPr>
        <sz val="10"/>
        <color rgb="FF222222"/>
        <rFont val="Noto Sans CJK SC"/>
        <family val="2"/>
      </rPr>
      <t xml:space="preserve">，另需與 </t>
    </r>
    <r>
      <rPr>
        <sz val="10"/>
        <color rgb="FF222222"/>
        <rFont val="Arial"/>
        <family val="0"/>
        <charset val="1"/>
      </rPr>
      <t xml:space="preserve">vCenter </t>
    </r>
    <r>
      <rPr>
        <sz val="10"/>
        <color rgb="FF222222"/>
        <rFont val="Noto Sans CJK SC"/>
        <family val="2"/>
      </rPr>
      <t xml:space="preserve">版本對應的 </t>
    </r>
    <r>
      <rPr>
        <sz val="10"/>
        <color rgb="FF222222"/>
        <rFont val="Arial"/>
        <family val="0"/>
        <charset val="1"/>
      </rPr>
      <t xml:space="preserve">NSX install bundle</t>
    </r>
  </si>
  <si>
    <t xml:space="preserve">vcf-download-tool …</t>
  </si>
  <si>
    <r>
      <rPr>
        <sz val="9.5"/>
        <color rgb="FF222222"/>
        <rFont val="Arial"/>
        <family val="0"/>
        <charset val="1"/>
      </rPr>
      <t xml:space="preserve">TechDocs: Import an Existing vCenter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Upgrading Workload Domains</t>
    </r>
  </si>
  <si>
    <t xml:space="preserve">S03-08</t>
  </si>
  <si>
    <r>
      <rPr>
        <sz val="10"/>
        <color rgb="FF222222"/>
        <rFont val="Arial"/>
        <family val="0"/>
        <charset val="1"/>
      </rPr>
      <t xml:space="preserve">WLD ESXi </t>
    </r>
    <r>
      <rPr>
        <sz val="10"/>
        <color rgb="FF222222"/>
        <rFont val="Noto Sans CJK SC"/>
        <family val="2"/>
      </rPr>
      <t xml:space="preserve">升級要 </t>
    </r>
    <r>
      <rPr>
        <sz val="10"/>
        <color rgb="FF222222"/>
        <rFont val="Arial"/>
        <family val="0"/>
        <charset val="1"/>
      </rPr>
      <t xml:space="preserve">ESX 9.1.1 vLCM depot zip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catalog </t>
    </r>
    <r>
      <rPr>
        <sz val="10"/>
        <color rgb="FF222222"/>
        <rFont val="Noto Sans CJK SC"/>
        <family val="2"/>
      </rPr>
      <t xml:space="preserve">只列 </t>
    </r>
    <r>
      <rPr>
        <sz val="10"/>
        <color rgb="FF222222"/>
        <rFont val="Arial"/>
        <family val="0"/>
        <charset val="1"/>
      </rPr>
      <t xml:space="preserve">ISO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depot zip </t>
    </r>
    <r>
      <rPr>
        <sz val="10"/>
        <color rgb="FF222222"/>
        <rFont val="Noto Sans CJK SC"/>
        <family val="2"/>
      </rPr>
      <t xml:space="preserve">下載需把 </t>
    </r>
    <r>
      <rPr>
        <sz val="10"/>
        <color rgb="FF222222"/>
        <rFont val="Arial"/>
        <family val="0"/>
        <charset val="1"/>
      </rPr>
      <t xml:space="preserve">token </t>
    </r>
    <r>
      <rPr>
        <sz val="10"/>
        <color rgb="FF222222"/>
        <rFont val="Noto Sans CJK SC"/>
        <family val="2"/>
      </rPr>
      <t xml:space="preserve">放在 </t>
    </r>
    <r>
      <rPr>
        <sz val="10"/>
        <color rgb="FF222222"/>
        <rFont val="Arial"/>
        <family val="0"/>
        <charset val="1"/>
      </rPr>
      <t xml:space="preserve">URL path</t>
    </r>
    <r>
      <rPr>
        <sz val="10"/>
        <color rgb="FF222222"/>
        <rFont val="Noto Sans CJK SC"/>
        <family val="2"/>
      </rPr>
      <t xml:space="preserve">）</t>
    </r>
  </si>
  <si>
    <r>
      <rPr>
        <sz val="9.5"/>
        <color rgb="FF222222"/>
        <rFont val="Arial"/>
        <family val="0"/>
        <charset val="1"/>
      </rPr>
      <t xml:space="preserve">https://dl.broadcom.com/&lt;TOKEN&gt;/PROD/COMP/ESX_HOST/&lt;</t>
    </r>
    <r>
      <rPr>
        <sz val="9.5"/>
        <color rgb="FF222222"/>
        <rFont val="Noto Sans CJK SC"/>
        <family val="2"/>
      </rPr>
      <t xml:space="preserve">檔名</t>
    </r>
    <r>
      <rPr>
        <sz val="9.5"/>
        <color rgb="FF222222"/>
        <rFont val="Arial"/>
        <family val="0"/>
        <charset val="1"/>
      </rPr>
      <t xml:space="preserve">&gt;</t>
    </r>
  </si>
  <si>
    <r>
      <rPr>
        <sz val="10"/>
        <color rgb="FF222222"/>
        <rFont val="Arial"/>
        <family val="0"/>
        <charset val="1"/>
      </rPr>
      <t xml:space="preserve">depot zip </t>
    </r>
    <r>
      <rPr>
        <sz val="10"/>
        <color rgb="FF222222"/>
        <rFont val="Noto Sans CJK SC"/>
        <family val="2"/>
      </rPr>
      <t xml:space="preserve">已入 </t>
    </r>
    <r>
      <rPr>
        <sz val="10"/>
        <color rgb="FF222222"/>
        <rFont val="Arial"/>
        <family val="0"/>
        <charset val="1"/>
      </rPr>
      <t xml:space="preserve">depot</t>
    </r>
  </si>
  <si>
    <t xml:space="preserve">S03-09</t>
  </si>
  <si>
    <r>
      <rPr>
        <sz val="10"/>
        <color rgb="FF222222"/>
        <rFont val="Noto Sans CJK SC"/>
        <family val="2"/>
      </rPr>
      <t xml:space="preserve">另行準備 </t>
    </r>
    <r>
      <rPr>
        <sz val="10"/>
        <color rgb="FF222222"/>
        <rFont val="Arial"/>
        <family val="0"/>
        <charset val="1"/>
      </rPr>
      <t xml:space="preserve">vRO 9.1.1 </t>
    </r>
    <r>
      <rPr>
        <sz val="10"/>
        <color rgb="FF222222"/>
        <rFont val="Noto Sans CJK SC"/>
        <family val="2"/>
      </rPr>
      <t xml:space="preserve">升級 </t>
    </r>
    <r>
      <rPr>
        <sz val="10"/>
        <color rgb="FF222222"/>
        <rFont val="Arial"/>
        <family val="0"/>
        <charset val="1"/>
      </rPr>
      <t xml:space="preserve">ISO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S15 </t>
    </r>
    <r>
      <rPr>
        <sz val="10"/>
        <color rgb="FF222222"/>
        <rFont val="Noto Sans CJK SC"/>
        <family val="2"/>
      </rPr>
      <t xml:space="preserve">使用）</t>
    </r>
  </si>
  <si>
    <t xml:space="preserve">已取得</t>
  </si>
  <si>
    <t xml:space="preserve">S03-10</t>
  </si>
  <si>
    <r>
      <rPr>
        <sz val="10"/>
        <color rgb="FF222222"/>
        <rFont val="Arial"/>
        <family val="0"/>
        <charset val="1"/>
      </rPr>
      <t xml:space="preserve">Installer </t>
    </r>
    <r>
      <rPr>
        <sz val="10"/>
        <color rgb="FF222222"/>
        <rFont val="Noto Sans CJK SC"/>
        <family val="2"/>
      </rPr>
      <t xml:space="preserve">連線 </t>
    </r>
    <r>
      <rPr>
        <sz val="10"/>
        <color rgb="FF222222"/>
        <rFont val="Arial"/>
        <family val="0"/>
        <charset val="1"/>
      </rPr>
      <t xml:space="preserve">Offline Depot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CXS Lab</t>
    </r>
    <r>
      <rPr>
        <sz val="10"/>
        <color rgb="FF222222"/>
        <rFont val="Noto Sans CJK SC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URL </t>
    </r>
    <r>
      <rPr>
        <sz val="10"/>
        <color rgb="FF222222"/>
        <rFont val="Noto Sans CJK SC"/>
        <family val="2"/>
      </rPr>
      <t xml:space="preserve">用 </t>
    </r>
    <r>
      <rPr>
        <sz val="10"/>
        <color rgb="FF222222"/>
        <rFont val="Arial"/>
        <family val="0"/>
        <charset val="1"/>
      </rPr>
      <t xml:space="preserve">FQDN </t>
    </r>
    <r>
      <rPr>
        <sz val="10"/>
        <color rgb="FF222222"/>
        <rFont val="Noto Sans CJK SC"/>
        <family val="2"/>
      </rPr>
      <t xml:space="preserve">曾報 </t>
    </r>
    <r>
      <rPr>
        <sz val="10"/>
        <color rgb="FF222222"/>
        <rFont val="Arial"/>
        <family val="0"/>
        <charset val="1"/>
      </rPr>
      <t xml:space="preserve">VMWARE_DEPOT_OFFLINE_INVALID_URL</t>
    </r>
    <r>
      <rPr>
        <sz val="10"/>
        <color rgb="FF222222"/>
        <rFont val="Noto Sans CJK SC"/>
        <family val="2"/>
      </rPr>
      <t xml:space="preserve">，改用 </t>
    </r>
    <r>
      <rPr>
        <sz val="10"/>
        <color rgb="FF222222"/>
        <rFont val="Arial"/>
        <family val="0"/>
        <charset val="1"/>
      </rPr>
      <t xml:space="preserve">IP</t>
    </r>
    <r>
      <rPr>
        <sz val="10"/>
        <color rgb="FF222222"/>
        <rFont val="Noto Sans CJK SC"/>
        <family val="2"/>
      </rPr>
      <t xml:space="preserve">）</t>
    </r>
  </si>
  <si>
    <t xml:space="preserve">Installer &gt; Depot Settings</t>
  </si>
  <si>
    <t xml:space="preserve">Connected</t>
  </si>
  <si>
    <t xml:space="preserve">S03-11</t>
  </si>
  <si>
    <r>
      <rPr>
        <sz val="10"/>
        <color rgb="FF222222"/>
        <rFont val="Arial"/>
        <family val="0"/>
        <charset val="1"/>
      </rPr>
      <t xml:space="preserve">Installer Binary Management </t>
    </r>
    <r>
      <rPr>
        <sz val="10"/>
        <color rgb="FF222222"/>
        <rFont val="Noto Sans CJK SC"/>
        <family val="2"/>
      </rPr>
      <t xml:space="preserve">所需項目全部 </t>
    </r>
    <r>
      <rPr>
        <sz val="10"/>
        <color rgb="FF222222"/>
        <rFont val="Arial"/>
        <family val="0"/>
        <charset val="1"/>
      </rPr>
      <t xml:space="preserve">Downloaded</t>
    </r>
    <r>
      <rPr>
        <sz val="10"/>
        <color rgb="FF222222"/>
        <rFont val="Noto Sans CJK SC"/>
        <family val="2"/>
      </rPr>
      <t xml:space="preserve">、無缺項；檔案 </t>
    </r>
    <r>
      <rPr>
        <sz val="10"/>
        <color rgb="FF222222"/>
        <rFont val="Arial"/>
        <family val="0"/>
        <charset val="1"/>
      </rPr>
      <t xml:space="preserve">SHA256 / </t>
    </r>
    <r>
      <rPr>
        <sz val="10"/>
        <color rgb="FF222222"/>
        <rFont val="Noto Sans CJK SC"/>
        <family val="2"/>
      </rPr>
      <t xml:space="preserve">大小核對</t>
    </r>
  </si>
  <si>
    <t xml:space="preserve">Installer &gt; Binary Management</t>
  </si>
  <si>
    <r>
      <rPr>
        <sz val="10"/>
        <color rgb="FF222222"/>
        <rFont val="Noto Sans CJK SC"/>
        <family val="2"/>
      </rPr>
      <t xml:space="preserve">全部 </t>
    </r>
    <r>
      <rPr>
        <sz val="10"/>
        <color rgb="FF222222"/>
        <rFont val="Arial"/>
        <family val="0"/>
        <charset val="1"/>
      </rPr>
      <t xml:space="preserve">Downloaded</t>
    </r>
  </si>
  <si>
    <t xml:space="preserve">S03-12</t>
  </si>
  <si>
    <t xml:space="preserve">無變更（不影響既有環境）</t>
  </si>
  <si>
    <t xml:space="preserve">#5</t>
  </si>
  <si>
    <r>
      <rPr>
        <b val="true"/>
        <sz val="10.5"/>
        <color rgb="FFFFFFFF"/>
        <rFont val="Arial"/>
        <family val="0"/>
        <charset val="1"/>
      </rPr>
      <t xml:space="preserve">S04</t>
    </r>
    <r>
      <rPr>
        <b val="true"/>
        <sz val="10.5"/>
        <color rgb="FFFFFFFF"/>
        <rFont val="Noto Sans CJK SC"/>
        <family val="2"/>
      </rPr>
      <t xml:space="preserve">｜</t>
    </r>
    <r>
      <rPr>
        <b val="true"/>
        <sz val="10.5"/>
        <color rgb="FFFFFFFF"/>
        <rFont val="Arial"/>
        <family val="0"/>
        <charset val="1"/>
      </rPr>
      <t xml:space="preserve">Converge Management Cluster to VCF 9.1.1</t>
    </r>
    <r>
      <rPr>
        <b val="true"/>
        <sz val="10.5"/>
        <color rgb="FFFFFFFF"/>
        <rFont val="Noto Sans CJK SC"/>
        <family val="2"/>
      </rPr>
      <t xml:space="preserve">｜</t>
    </r>
    <r>
      <rPr>
        <b val="true"/>
        <sz val="10.5"/>
        <color rgb="FFFFFFFF"/>
        <rFont val="Arial"/>
        <family val="0"/>
        <charset val="1"/>
      </rPr>
      <t xml:space="preserve">Management Cluster Converge </t>
    </r>
    <r>
      <rPr>
        <b val="true"/>
        <sz val="10.5"/>
        <color rgb="FFFFFFFF"/>
        <rFont val="Noto Sans CJK SC"/>
        <family val="2"/>
      </rPr>
      <t xml:space="preserve">成 </t>
    </r>
    <r>
      <rPr>
        <b val="true"/>
        <sz val="10.5"/>
        <color rgb="FFFFFFFF"/>
        <rFont val="Arial"/>
        <family val="0"/>
        <charset val="1"/>
      </rPr>
      <t xml:space="preserve">VCF 9.1.1 </t>
    </r>
    <r>
      <rPr>
        <b val="true"/>
        <sz val="10.5"/>
        <color rgb="FFFFFFFF"/>
        <rFont val="Noto Sans CJK SC"/>
        <family val="2"/>
      </rPr>
      <t xml:space="preserve">管理網域｜</t>
    </r>
    <r>
      <rPr>
        <b val="true"/>
        <sz val="10.5"/>
        <color rgb="FFFFFFFF"/>
        <rFont val="Arial"/>
        <family val="0"/>
        <charset val="1"/>
      </rPr>
      <t xml:space="preserve">G1 ⚠ PONR</t>
    </r>
    <r>
      <rPr>
        <b val="true"/>
        <sz val="10.5"/>
        <color rgb="FFFFFFFF"/>
        <rFont val="Noto Sans CJK SC"/>
        <family val="2"/>
      </rPr>
      <t xml:space="preserve">｜</t>
    </r>
    <r>
      <rPr>
        <b val="true"/>
        <sz val="10.5"/>
        <color rgb="FFFFFFFF"/>
        <rFont val="Arial"/>
        <family val="0"/>
        <charset val="1"/>
      </rPr>
      <t xml:space="preserve">Lab</t>
    </r>
    <r>
      <rPr>
        <b val="true"/>
        <sz val="10.5"/>
        <color rgb="FFFFFFFF"/>
        <rFont val="Noto Sans CJK SC"/>
        <family val="2"/>
      </rPr>
      <t xml:space="preserve">：約 </t>
    </r>
    <r>
      <rPr>
        <b val="true"/>
        <sz val="10.5"/>
        <color rgb="FFFFFFFF"/>
        <rFont val="Arial"/>
        <family val="0"/>
        <charset val="1"/>
      </rPr>
      <t xml:space="preserve">5–5.5 h</t>
    </r>
    <r>
      <rPr>
        <b val="true"/>
        <sz val="10.5"/>
        <color rgb="FFFFFFFF"/>
        <rFont val="Noto Sans CJK SC"/>
        <family val="2"/>
      </rPr>
      <t xml:space="preserve">（</t>
    </r>
    <r>
      <rPr>
        <b val="true"/>
        <sz val="10.5"/>
        <color rgb="FFFFFFFF"/>
        <rFont val="Arial"/>
        <family val="0"/>
        <charset val="1"/>
      </rPr>
      <t xml:space="preserve">nested</t>
    </r>
    <r>
      <rPr>
        <b val="true"/>
        <sz val="10.5"/>
        <color rgb="FFFFFFFF"/>
        <rFont val="Noto Sans CJK SC"/>
        <family val="2"/>
      </rPr>
      <t xml:space="preserve">）｜負責：</t>
    </r>
    <r>
      <rPr>
        <b val="true"/>
        <sz val="10.5"/>
        <color rgb="FFFFFFFF"/>
        <rFont val="Arial"/>
        <family val="0"/>
        <charset val="1"/>
      </rPr>
      <t xml:space="preserve">ARC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ENG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SYS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NET</t>
    </r>
  </si>
  <si>
    <t xml:space="preserve">S04-01</t>
  </si>
  <si>
    <r>
      <rPr>
        <sz val="10"/>
        <color rgb="FF222222"/>
        <rFont val="Noto Sans CJK SC"/>
        <family val="2"/>
      </rPr>
      <t xml:space="preserve">支援組態全過：</t>
    </r>
    <r>
      <rPr>
        <sz val="10"/>
        <color rgb="FF222222"/>
        <rFont val="Arial"/>
        <family val="0"/>
        <charset val="1"/>
      </rPr>
      <t xml:space="preserve">vLCM image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DRS Fully Automated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VDS ≥ 8.0</t>
    </r>
    <r>
      <rPr>
        <sz val="10"/>
        <color rgb="FF222222"/>
        <rFont val="Noto Sans CJK SC"/>
        <family val="2"/>
      </rPr>
      <t xml:space="preserve">、靜態 </t>
    </r>
    <r>
      <rPr>
        <sz val="10"/>
        <color rgb="FF222222"/>
        <rFont val="Arial"/>
        <family val="0"/>
        <charset val="1"/>
      </rPr>
      <t xml:space="preserve">vmk</t>
    </r>
    <r>
      <rPr>
        <sz val="10"/>
        <color rgb="FF222222"/>
        <rFont val="Noto Sans CJK SC"/>
        <family val="2"/>
      </rPr>
      <t xml:space="preserve">、無 </t>
    </r>
    <r>
      <rPr>
        <sz val="10"/>
        <color rgb="FF222222"/>
        <rFont val="Arial"/>
        <family val="0"/>
        <charset val="1"/>
      </rPr>
      <t xml:space="preserve">ELM / vCenter HA</t>
    </r>
    <r>
      <rPr>
        <sz val="10"/>
        <color rgb="FF222222"/>
        <rFont val="Noto Sans CJK SC"/>
        <family val="2"/>
      </rPr>
      <t xml:space="preserve">、≥ </t>
    </r>
    <r>
      <rPr>
        <sz val="10"/>
        <color rgb="FF222222"/>
        <rFont val="Arial"/>
        <family val="0"/>
        <charset val="1"/>
      </rPr>
      <t xml:space="preserve">3 </t>
    </r>
    <r>
      <rPr>
        <sz val="10"/>
        <color rgb="FF222222"/>
        <rFont val="Noto Sans CJK SC"/>
        <family val="2"/>
      </rPr>
      <t xml:space="preserve">台（</t>
    </r>
    <r>
      <rPr>
        <sz val="10"/>
        <color rgb="FF222222"/>
        <rFont val="Arial"/>
        <family val="0"/>
        <charset val="1"/>
      </rPr>
      <t xml:space="preserve">vSAN</t>
    </r>
    <r>
      <rPr>
        <sz val="10"/>
        <color rgb="FF222222"/>
        <rFont val="Noto Sans CJK SC"/>
        <family val="2"/>
      </rPr>
      <t xml:space="preserve">）</t>
    </r>
  </si>
  <si>
    <t xml:space="preserve">TechDocs: Supported and Not Supported Configurations to Converge to VCF</t>
  </si>
  <si>
    <t xml:space="preserve">S04-02</t>
  </si>
  <si>
    <r>
      <rPr>
        <sz val="10"/>
        <color rgb="FF222222"/>
        <rFont val="Arial"/>
        <family val="0"/>
        <charset val="1"/>
      </rPr>
      <t xml:space="preserve">mgmt vCenter VM </t>
    </r>
    <r>
      <rPr>
        <sz val="10"/>
        <color rgb="FF222222"/>
        <rFont val="Noto Sans CJK SC"/>
        <family val="2"/>
      </rPr>
      <t xml:space="preserve">必須跑在它自己管理的叢集內；該 </t>
    </r>
    <r>
      <rPr>
        <sz val="10"/>
        <color rgb="FF222222"/>
        <rFont val="Arial"/>
        <family val="0"/>
        <charset val="1"/>
      </rPr>
      <t xml:space="preserve">vCenter </t>
    </r>
    <r>
      <rPr>
        <sz val="10"/>
        <color rgb="FF222222"/>
        <rFont val="Noto Sans CJK SC"/>
        <family val="2"/>
      </rPr>
      <t xml:space="preserve">下所有叢集會一起 </t>
    </r>
    <r>
      <rPr>
        <sz val="10"/>
        <color rgb="FF222222"/>
        <rFont val="Arial"/>
        <family val="0"/>
        <charset val="1"/>
      </rPr>
      <t xml:space="preserve">converge</t>
    </r>
    <r>
      <rPr>
        <sz val="10"/>
        <color rgb="FF222222"/>
        <rFont val="Noto Sans CJK SC"/>
        <family val="2"/>
      </rPr>
      <t xml:space="preserve">（無法略過）</t>
    </r>
  </si>
  <si>
    <t xml:space="preserve">符合</t>
  </si>
  <si>
    <r>
      <rPr>
        <sz val="9.5"/>
        <color rgb="FF222222"/>
        <rFont val="Arial"/>
        <family val="0"/>
        <charset val="1"/>
      </rPr>
      <t xml:space="preserve">TechDocs: Supported and Not Supported Configurations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CXS Lab </t>
    </r>
    <r>
      <rPr>
        <sz val="9.5"/>
        <color rgb="FF222222"/>
        <rFont val="Noto Sans CJK SC"/>
        <family val="2"/>
      </rPr>
      <t xml:space="preserve">實測</t>
    </r>
  </si>
  <si>
    <t xml:space="preserve">S04-03</t>
  </si>
  <si>
    <r>
      <rPr>
        <sz val="10"/>
        <color rgb="FF222222"/>
        <rFont val="Arial"/>
        <family val="0"/>
        <charset val="1"/>
      </rPr>
      <t xml:space="preserve">mgmt vCenter / ESXi build </t>
    </r>
    <r>
      <rPr>
        <sz val="10"/>
        <color rgb="FF222222"/>
        <rFont val="Noto Sans CJK SC"/>
        <family val="2"/>
      </rPr>
      <t xml:space="preserve">與 </t>
    </r>
    <r>
      <rPr>
        <sz val="10"/>
        <color rgb="FF222222"/>
        <rFont val="Arial"/>
        <family val="0"/>
        <charset val="1"/>
      </rPr>
      <t xml:space="preserve">VCF 9.1.1 BOM </t>
    </r>
    <r>
      <rPr>
        <sz val="10"/>
        <color rgb="FF222222"/>
        <rFont val="Noto Sans CJK SC"/>
        <family val="2"/>
      </rPr>
      <t xml:space="preserve">一致（</t>
    </r>
    <r>
      <rPr>
        <sz val="10"/>
        <color rgb="FF222222"/>
        <rFont val="Arial"/>
        <family val="0"/>
        <charset val="1"/>
      </rPr>
      <t xml:space="preserve">vCenter 25712839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ESX 25714478</t>
    </r>
    <r>
      <rPr>
        <sz val="10"/>
        <color rgb="FF222222"/>
        <rFont val="Noto Sans CJK SC"/>
        <family val="2"/>
      </rPr>
      <t xml:space="preserve">）；</t>
    </r>
    <r>
      <rPr>
        <sz val="10"/>
        <color rgb="FF222222"/>
        <rFont val="Arial"/>
        <family val="0"/>
        <charset val="1"/>
      </rPr>
      <t xml:space="preserve">converge </t>
    </r>
    <r>
      <rPr>
        <sz val="10"/>
        <color rgb="FF222222"/>
        <rFont val="Noto Sans CJK SC"/>
        <family val="2"/>
      </rPr>
      <t xml:space="preserve">會把 </t>
    </r>
    <r>
      <rPr>
        <sz val="10"/>
        <color rgb="FF222222"/>
        <rFont val="Arial"/>
        <family val="0"/>
        <charset val="1"/>
      </rPr>
      <t xml:space="preserve">vLCM desired image </t>
    </r>
    <r>
      <rPr>
        <sz val="10"/>
        <color rgb="FF222222"/>
        <rFont val="Noto Sans CJK SC"/>
        <family val="2"/>
      </rPr>
      <t xml:space="preserve">設為 </t>
    </r>
    <r>
      <rPr>
        <sz val="10"/>
        <color rgb="FF222222"/>
        <rFont val="Arial"/>
        <family val="0"/>
        <charset val="1"/>
      </rPr>
      <t xml:space="preserve">BOM </t>
    </r>
    <r>
      <rPr>
        <sz val="10"/>
        <color rgb="FF222222"/>
        <rFont val="Noto Sans CJK SC"/>
        <family val="2"/>
      </rPr>
      <t xml:space="preserve">版本</t>
    </r>
  </si>
  <si>
    <r>
      <rPr>
        <sz val="9.5"/>
        <color rgb="FF222222"/>
        <rFont val="Arial"/>
        <family val="0"/>
        <charset val="1"/>
      </rPr>
      <t xml:space="preserve">VAMI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esxcli system version get</t>
    </r>
  </si>
  <si>
    <r>
      <rPr>
        <sz val="10"/>
        <color rgb="FF222222"/>
        <rFont val="Noto Sans CJK SC"/>
        <family val="2"/>
      </rPr>
      <t xml:space="preserve">與 </t>
    </r>
    <r>
      <rPr>
        <sz val="10"/>
        <color rgb="FF222222"/>
        <rFont val="Arial"/>
        <family val="0"/>
        <charset val="1"/>
      </rPr>
      <t xml:space="preserve">BOM </t>
    </r>
    <r>
      <rPr>
        <sz val="10"/>
        <color rgb="FF222222"/>
        <rFont val="Noto Sans CJK SC"/>
        <family val="2"/>
      </rPr>
      <t xml:space="preserve">相同</t>
    </r>
  </si>
  <si>
    <r>
      <rPr>
        <sz val="9.5"/>
        <color rgb="FF222222"/>
        <rFont val="Arial"/>
        <family val="0"/>
        <charset val="1"/>
      </rPr>
      <t xml:space="preserve">VCF 9.1.1 BOM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CXS Lab </t>
    </r>
    <r>
      <rPr>
        <sz val="9.5"/>
        <color rgb="FF222222"/>
        <rFont val="Noto Sans CJK SC"/>
        <family val="2"/>
      </rPr>
      <t xml:space="preserve">實測</t>
    </r>
  </si>
  <si>
    <t xml:space="preserve">S04-04</t>
  </si>
  <si>
    <r>
      <rPr>
        <sz val="10"/>
        <color rgb="FF222222"/>
        <rFont val="Arial"/>
        <family val="0"/>
        <charset val="1"/>
      </rPr>
      <t xml:space="preserve">vCenter </t>
    </r>
    <r>
      <rPr>
        <sz val="10"/>
        <color rgb="FF222222"/>
        <rFont val="Noto Sans CJK SC"/>
        <family val="2"/>
      </rPr>
      <t xml:space="preserve">無殘留 </t>
    </r>
    <r>
      <rPr>
        <sz val="10"/>
        <color rgb="FF222222"/>
        <rFont val="Arial"/>
        <family val="0"/>
        <charset val="1"/>
      </rPr>
      <t xml:space="preserve">com.vmware.sddcManager / com.vmware.vcf.client extension</t>
    </r>
    <r>
      <rPr>
        <sz val="10"/>
        <color rgb="FF222222"/>
        <rFont val="Noto Sans CJK SC"/>
        <family val="2"/>
      </rPr>
      <t xml:space="preserve">，無同名 </t>
    </r>
    <r>
      <rPr>
        <sz val="10"/>
        <color rgb="FF222222"/>
        <rFont val="Arial"/>
        <family val="0"/>
        <charset val="1"/>
      </rPr>
      <t xml:space="preserve">SDDC Manager VM</t>
    </r>
  </si>
  <si>
    <t xml:space="preserve">govc extension.info | grep -iE 'sddcmanager|vcf.client'</t>
  </si>
  <si>
    <t xml:space="preserve">無輸出</t>
  </si>
  <si>
    <t xml:space="preserve">S04-05</t>
  </si>
  <si>
    <r>
      <rPr>
        <sz val="10"/>
        <color rgb="FF222222"/>
        <rFont val="Arial"/>
        <family val="0"/>
        <charset val="1"/>
      </rPr>
      <t xml:space="preserve">vLCM remediation policy evacuate_offline_vms = true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CXS Lab </t>
    </r>
    <r>
      <rPr>
        <sz val="10"/>
        <color rgb="FF222222"/>
        <rFont val="Noto Sans CJK SC"/>
        <family val="2"/>
      </rPr>
      <t xml:space="preserve">驗證會擋）</t>
    </r>
  </si>
  <si>
    <t xml:space="preserve">PUT /api/esx/settings/clusters/{id}/policies/apply</t>
  </si>
  <si>
    <t xml:space="preserve">true</t>
  </si>
  <si>
    <t xml:space="preserve">S04-06</t>
  </si>
  <si>
    <r>
      <rPr>
        <sz val="10"/>
        <color rgb="FF222222"/>
        <rFont val="Arial"/>
        <family val="0"/>
        <charset val="1"/>
      </rPr>
      <t xml:space="preserve">NSX overlay </t>
    </r>
    <r>
      <rPr>
        <sz val="10"/>
        <color rgb="FF222222"/>
        <rFont val="Noto Sans CJK SC"/>
        <family val="2"/>
      </rPr>
      <t xml:space="preserve">設計：不給 </t>
    </r>
    <r>
      <rPr>
        <sz val="10"/>
        <color rgb="FF222222"/>
        <rFont val="Arial"/>
        <family val="0"/>
        <charset val="1"/>
      </rPr>
      <t xml:space="preserve">TEP</t>
    </r>
    <r>
      <rPr>
        <sz val="10"/>
        <color rgb="FF222222"/>
        <rFont val="Noto Sans CJK SC"/>
        <family val="2"/>
      </rPr>
      <t xml:space="preserve">，或 </t>
    </r>
    <r>
      <rPr>
        <sz val="10"/>
        <color rgb="FF222222"/>
        <rFont val="Arial"/>
        <family val="0"/>
        <charset val="1"/>
      </rPr>
      <t xml:space="preserve">overlay over management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mgmt VLAN </t>
    </r>
    <r>
      <rPr>
        <sz val="10"/>
        <color rgb="FF222222"/>
        <rFont val="Noto Sans CJK SC"/>
        <family val="2"/>
      </rPr>
      <t xml:space="preserve">端到端 </t>
    </r>
    <r>
      <rPr>
        <sz val="10"/>
        <color rgb="FF222222"/>
        <rFont val="Arial"/>
        <family val="0"/>
        <charset val="1"/>
      </rPr>
      <t xml:space="preserve">MTU ≥ 1600</t>
    </r>
    <r>
      <rPr>
        <sz val="10"/>
        <color rgb="FF222222"/>
        <rFont val="Noto Sans CJK SC"/>
        <family val="2"/>
      </rPr>
      <t xml:space="preserve">）；不含 </t>
    </r>
    <r>
      <rPr>
        <sz val="10"/>
        <color rgb="FF222222"/>
        <rFont val="Arial"/>
        <family val="0"/>
        <charset val="1"/>
      </rPr>
      <t xml:space="preserve">NSX Edge cluster</t>
    </r>
  </si>
  <si>
    <t xml:space="preserve">S04-07</t>
  </si>
  <si>
    <r>
      <rPr>
        <sz val="10"/>
        <color rgb="FF222222"/>
        <rFont val="Arial"/>
        <family val="0"/>
        <charset val="1"/>
      </rPr>
      <t xml:space="preserve">VCF Operations</t>
    </r>
    <r>
      <rPr>
        <sz val="10"/>
        <color rgb="FF222222"/>
        <rFont val="Noto Sans CJK SC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9.1.1 </t>
    </r>
    <r>
      <rPr>
        <sz val="10"/>
        <color rgb="FF222222"/>
        <rFont val="Noto Sans CJK SC"/>
        <family val="2"/>
      </rPr>
      <t xml:space="preserve">起必須在第一個 </t>
    </r>
    <r>
      <rPr>
        <sz val="10"/>
        <color rgb="FF222222"/>
        <rFont val="Arial"/>
        <family val="0"/>
        <charset val="1"/>
      </rPr>
      <t xml:space="preserve">Instance </t>
    </r>
    <r>
      <rPr>
        <sz val="10"/>
        <color rgb="FF222222"/>
        <rFont val="Noto Sans CJK SC"/>
        <family val="2"/>
      </rPr>
      <t xml:space="preserve">的管理網域；決定新部署或沿用既有 </t>
    </r>
    <r>
      <rPr>
        <sz val="10"/>
        <color rgb="FF222222"/>
        <rFont val="Arial"/>
        <family val="0"/>
        <charset val="1"/>
      </rPr>
      <t xml:space="preserve">9.1 </t>
    </r>
    <r>
      <rPr>
        <sz val="10"/>
        <color rgb="FF222222"/>
        <rFont val="Noto Sans CJK SC"/>
        <family val="2"/>
      </rPr>
      <t xml:space="preserve">實例</t>
    </r>
  </si>
  <si>
    <t xml:space="preserve">TechDocs: Deploy Components by Using VCF Installer…</t>
  </si>
  <si>
    <t xml:space="preserve">S04-08</t>
  </si>
  <si>
    <r>
      <rPr>
        <sz val="10"/>
        <color rgb="FF222222"/>
        <rFont val="Arial"/>
        <family val="0"/>
        <charset val="1"/>
      </rPr>
      <t xml:space="preserve">VCF Automation </t>
    </r>
    <r>
      <rPr>
        <sz val="10"/>
        <color rgb="FF222222"/>
        <rFont val="Noto Sans CJK SC"/>
        <family val="2"/>
      </rPr>
      <t xml:space="preserve">選『稍後部署』（</t>
    </r>
    <r>
      <rPr>
        <sz val="10"/>
        <color rgb="FF222222"/>
        <rFont val="Arial"/>
        <family val="0"/>
        <charset val="1"/>
      </rPr>
      <t xml:space="preserve">vRA </t>
    </r>
    <r>
      <rPr>
        <sz val="10"/>
        <color rgb="FF222222"/>
        <rFont val="Noto Sans CJK SC"/>
        <family val="2"/>
      </rPr>
      <t xml:space="preserve">走 </t>
    </r>
    <r>
      <rPr>
        <sz val="10"/>
        <color rgb="FF222222"/>
        <rFont val="Arial"/>
        <family val="0"/>
        <charset val="1"/>
      </rPr>
      <t xml:space="preserve">S05 import</t>
    </r>
    <r>
      <rPr>
        <sz val="10"/>
        <color rgb="FF222222"/>
        <rFont val="Noto Sans CJK SC"/>
        <family val="2"/>
      </rPr>
      <t xml:space="preserve">）；</t>
    </r>
    <r>
      <rPr>
        <sz val="10"/>
        <color rgb="FF222222"/>
        <rFont val="Arial"/>
        <family val="0"/>
        <charset val="1"/>
      </rPr>
      <t xml:space="preserve">mgmt vCenter file-based backup</t>
    </r>
  </si>
  <si>
    <t xml:space="preserve">S04-09</t>
  </si>
  <si>
    <r>
      <rPr>
        <sz val="10"/>
        <color rgb="FF222222"/>
        <rFont val="Arial"/>
        <family val="0"/>
        <charset val="1"/>
      </rPr>
      <t xml:space="preserve">Installer &gt; Deployment Wizard &gt; VMware Cloud Foundation &gt; Plan Step 1</t>
    </r>
    <r>
      <rPr>
        <sz val="10"/>
        <color rgb="FF222222"/>
        <rFont val="Noto Sans CJK SC"/>
        <family val="2"/>
      </rPr>
      <t xml:space="preserve">『</t>
    </r>
    <r>
      <rPr>
        <sz val="10"/>
        <color rgb="FF222222"/>
        <rFont val="Arial"/>
        <family val="0"/>
        <charset val="1"/>
      </rPr>
      <t xml:space="preserve">Existing Component</t>
    </r>
    <r>
      <rPr>
        <sz val="10"/>
        <color rgb="FF222222"/>
        <rFont val="Noto Sans CJK SC"/>
        <family val="2"/>
      </rPr>
      <t xml:space="preserve">』勾既有 </t>
    </r>
    <r>
      <rPr>
        <sz val="10"/>
        <color rgb="FF222222"/>
        <rFont val="Arial"/>
        <family val="0"/>
        <charset val="1"/>
      </rPr>
      <t xml:space="preserve">vCenter</t>
    </r>
    <r>
      <rPr>
        <sz val="10"/>
        <color rgb="FF222222"/>
        <rFont val="Noto Sans CJK SC"/>
        <family val="2"/>
      </rPr>
      <t xml:space="preserve">（跳過 </t>
    </r>
    <r>
      <rPr>
        <sz val="10"/>
        <color rgb="FF222222"/>
        <rFont val="Arial"/>
        <family val="0"/>
        <charset val="1"/>
      </rPr>
      <t xml:space="preserve">Plan </t>
    </r>
    <r>
      <rPr>
        <sz val="10"/>
        <color rgb="FF222222"/>
        <rFont val="Noto Sans CJK SC"/>
        <family val="2"/>
      </rPr>
      <t xml:space="preserve">會變 </t>
    </r>
    <r>
      <rPr>
        <sz val="10"/>
        <color rgb="FF222222"/>
        <rFont val="Arial"/>
        <family val="0"/>
        <charset val="1"/>
      </rPr>
      <t xml:space="preserve">greenfield</t>
    </r>
    <r>
      <rPr>
        <sz val="10"/>
        <color rgb="FF222222"/>
        <rFont val="Noto Sans CJK SC"/>
        <family val="2"/>
      </rPr>
      <t xml:space="preserve">）</t>
    </r>
  </si>
  <si>
    <t xml:space="preserve">Installer UI</t>
  </si>
  <si>
    <t xml:space="preserve">S04-10</t>
  </si>
  <si>
    <r>
      <rPr>
        <sz val="10"/>
        <color rgb="FF222222"/>
        <rFont val="Arial"/>
        <family val="0"/>
        <charset val="1"/>
      </rPr>
      <t xml:space="preserve">Prepare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VCF Mgmt Services IP pool </t>
    </r>
    <r>
      <rPr>
        <sz val="10"/>
        <color rgb="FF222222"/>
        <rFont val="Noto Sans CJK SC"/>
        <family val="2"/>
      </rPr>
      <t xml:space="preserve">等）→ </t>
    </r>
    <r>
      <rPr>
        <sz val="10"/>
        <color rgb="FF222222"/>
        <rFont val="Arial"/>
        <family val="0"/>
        <charset val="1"/>
      </rPr>
      <t xml:space="preserve">Validate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Warning </t>
    </r>
    <r>
      <rPr>
        <sz val="10"/>
        <color rgb="FF222222"/>
        <rFont val="Noto Sans CJK SC"/>
        <family val="2"/>
      </rPr>
      <t xml:space="preserve">逐條確認）→ </t>
    </r>
    <r>
      <rPr>
        <sz val="10"/>
        <color rgb="FF222222"/>
        <rFont val="Arial"/>
        <family val="0"/>
        <charset val="1"/>
      </rPr>
      <t xml:space="preserve">Deploy</t>
    </r>
    <r>
      <rPr>
        <sz val="10"/>
        <color rgb="FF222222"/>
        <rFont val="Noto Sans CJK SC"/>
        <family val="2"/>
      </rPr>
      <t xml:space="preserve">；下載 </t>
    </r>
    <r>
      <rPr>
        <sz val="10"/>
        <color rgb="FF222222"/>
        <rFont val="Arial"/>
        <family val="0"/>
        <charset val="1"/>
      </rPr>
      <t xml:space="preserve">JSON spec </t>
    </r>
    <r>
      <rPr>
        <sz val="10"/>
        <color rgb="FF222222"/>
        <rFont val="Noto Sans CJK SC"/>
        <family val="2"/>
      </rPr>
      <t xml:space="preserve">存檔</t>
    </r>
  </si>
  <si>
    <t xml:space="preserve">Installer UI &gt; Review &gt; Download JSON spec</t>
  </si>
  <si>
    <r>
      <rPr>
        <sz val="10"/>
        <color rgb="FF222222"/>
        <rFont val="Arial"/>
        <family val="0"/>
        <charset val="1"/>
      </rPr>
      <t xml:space="preserve">Validation </t>
    </r>
    <r>
      <rPr>
        <sz val="10"/>
        <color rgb="FF222222"/>
        <rFont val="Noto Sans CJK SC"/>
        <family val="2"/>
      </rPr>
      <t xml:space="preserve">無 </t>
    </r>
    <r>
      <rPr>
        <sz val="10"/>
        <color rgb="FF222222"/>
        <rFont val="Arial"/>
        <family val="0"/>
        <charset val="1"/>
      </rPr>
      <t xml:space="preserve">Error</t>
    </r>
  </si>
  <si>
    <t xml:space="preserve">S04-11</t>
  </si>
  <si>
    <r>
      <rPr>
        <sz val="10"/>
        <color rgb="FF222222"/>
        <rFont val="Noto Sans CJK SC"/>
        <family val="2"/>
      </rPr>
      <t xml:space="preserve">監看里程碑：</t>
    </r>
    <r>
      <rPr>
        <sz val="10"/>
        <color rgb="FF222222"/>
        <rFont val="Arial"/>
        <family val="0"/>
        <charset val="1"/>
      </rPr>
      <t xml:space="preserve">Convert vCenter → NSX → VCF Management Platform → VCF Operations → Management Services</t>
    </r>
  </si>
  <si>
    <t xml:space="preserve">Installer UI / GET /v1/sddcs/{id}</t>
  </si>
  <si>
    <t xml:space="preserve">S04-12</t>
  </si>
  <si>
    <r>
      <rPr>
        <sz val="10"/>
        <color rgb="FF222222"/>
        <rFont val="Noto Sans CJK SC"/>
        <family val="2"/>
      </rPr>
      <t xml:space="preserve">全部 </t>
    </r>
    <r>
      <rPr>
        <sz val="10"/>
        <color rgb="FF222222"/>
        <rFont val="Arial"/>
        <family val="0"/>
        <charset val="1"/>
      </rPr>
      <t xml:space="preserve">subtask COMPLETED_WITH_SUCCESS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SDDC Manager </t>
    </r>
    <r>
      <rPr>
        <sz val="10"/>
        <color rgb="FF222222"/>
        <rFont val="Noto Sans CJK SC"/>
        <family val="2"/>
      </rPr>
      <t xml:space="preserve">管理網域 </t>
    </r>
    <r>
      <rPr>
        <sz val="10"/>
        <color rgb="FF222222"/>
        <rFont val="Arial"/>
        <family val="0"/>
        <charset val="1"/>
      </rPr>
      <t xml:space="preserve">ACTIVE</t>
    </r>
  </si>
  <si>
    <t xml:space="preserve">SDDC Manager UI / GET /v1/domains</t>
  </si>
  <si>
    <t xml:space="preserve">ACTIVE</t>
  </si>
  <si>
    <t xml:space="preserve">S04-13</t>
  </si>
  <si>
    <r>
      <rPr>
        <sz val="10"/>
        <color rgb="FF222222"/>
        <rFont val="Arial"/>
        <family val="0"/>
        <charset val="1"/>
      </rPr>
      <t xml:space="preserve">NSX</t>
    </r>
    <r>
      <rPr>
        <sz val="10"/>
        <color rgb="FF222222"/>
        <rFont val="Noto Sans CJK SC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hosts Prepared / Up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VCF Operations &gt; Lifecycle </t>
    </r>
    <r>
      <rPr>
        <sz val="10"/>
        <color rgb="FF222222"/>
        <rFont val="Noto Sans CJK SC"/>
        <family val="2"/>
      </rPr>
      <t xml:space="preserve">看得到 </t>
    </r>
    <r>
      <rPr>
        <sz val="10"/>
        <color rgb="FF222222"/>
        <rFont val="Arial"/>
        <family val="0"/>
        <charset val="1"/>
      </rPr>
      <t xml:space="preserve">Instance </t>
    </r>
    <r>
      <rPr>
        <sz val="10"/>
        <color rgb="FF222222"/>
        <rFont val="Noto Sans CJK SC"/>
        <family val="2"/>
      </rPr>
      <t xml:space="preserve">與各元件</t>
    </r>
  </si>
  <si>
    <r>
      <rPr>
        <sz val="9.5"/>
        <color rgb="FF222222"/>
        <rFont val="Arial"/>
        <family val="0"/>
        <charset val="1"/>
      </rPr>
      <t xml:space="preserve">NSX UI &gt; Fabric &gt; Hosts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VCF Ops &gt; Build &gt; Lifecycle</t>
    </r>
  </si>
  <si>
    <t xml:space="preserve">全部正常</t>
  </si>
  <si>
    <t xml:space="preserve">S04-14</t>
  </si>
  <si>
    <r>
      <rPr>
        <sz val="10"/>
        <color rgb="FF222222"/>
        <rFont val="Noto Sans CJK SC"/>
        <family val="2"/>
      </rPr>
      <t xml:space="preserve">授權（</t>
    </r>
    <r>
      <rPr>
        <sz val="10"/>
        <color rgb="FF222222"/>
        <rFont val="Arial"/>
        <family val="0"/>
        <charset val="1"/>
      </rPr>
      <t xml:space="preserve">License Server / VCF Ops</t>
    </r>
    <r>
      <rPr>
        <sz val="10"/>
        <color rgb="FF222222"/>
        <rFont val="Noto Sans CJK SC"/>
        <family val="2"/>
      </rPr>
      <t xml:space="preserve">）完成；</t>
    </r>
    <r>
      <rPr>
        <sz val="10"/>
        <color rgb="FF222222"/>
        <rFont val="Arial"/>
        <family val="0"/>
        <charset val="1"/>
      </rPr>
      <t xml:space="preserve">SDDC Manager / NSX SFTP </t>
    </r>
    <r>
      <rPr>
        <sz val="10"/>
        <color rgb="FF222222"/>
        <rFont val="Noto Sans CJK SC"/>
        <family val="2"/>
      </rPr>
      <t xml:space="preserve">備份設定並完成第一次備份</t>
    </r>
  </si>
  <si>
    <t xml:space="preserve">授權有效、備份成功</t>
  </si>
  <si>
    <t xml:space="preserve">S04-15</t>
  </si>
  <si>
    <r>
      <rPr>
        <sz val="10"/>
        <color rgb="FF222222"/>
        <rFont val="Noto Sans CJK SC"/>
        <family val="2"/>
      </rPr>
      <t xml:space="preserve">完成前失敗：刪除已部署元件 </t>
    </r>
    <r>
      <rPr>
        <sz val="10"/>
        <color rgb="FF222222"/>
        <rFont val="Arial"/>
        <family val="0"/>
        <charset val="1"/>
      </rPr>
      <t xml:space="preserve">VM </t>
    </r>
    <r>
      <rPr>
        <sz val="10"/>
        <color rgb="FF222222"/>
        <rFont val="Noto Sans CJK SC"/>
        <family val="2"/>
      </rPr>
      <t xml:space="preserve">與 </t>
    </r>
    <r>
      <rPr>
        <sz val="10"/>
        <color rgb="FF222222"/>
        <rFont val="Arial"/>
        <family val="0"/>
        <charset val="1"/>
      </rPr>
      <t xml:space="preserve">Installer</t>
    </r>
    <r>
      <rPr>
        <sz val="10"/>
        <color rgb="FF222222"/>
        <rFont val="Noto Sans CJK SC"/>
        <family val="2"/>
      </rPr>
      <t xml:space="preserve">，修正後依 </t>
    </r>
    <r>
      <rPr>
        <sz val="10"/>
        <color rgb="FF222222"/>
        <rFont val="Arial"/>
        <family val="0"/>
        <charset val="1"/>
      </rPr>
      <t xml:space="preserve">JSON </t>
    </r>
    <r>
      <rPr>
        <sz val="10"/>
        <color rgb="FF222222"/>
        <rFont val="Noto Sans CJK SC"/>
        <family val="2"/>
      </rPr>
      <t xml:space="preserve">重做</t>
    </r>
  </si>
  <si>
    <t xml:space="preserve">KB 448258</t>
  </si>
  <si>
    <t xml:space="preserve">S04-16</t>
  </si>
  <si>
    <r>
      <rPr>
        <b val="true"/>
        <sz val="10"/>
        <color rgb="FFA6192E"/>
        <rFont val="Noto Sans CJK SC"/>
        <family val="2"/>
      </rPr>
      <t xml:space="preserve">成功後無官方反向程序 → </t>
    </r>
    <r>
      <rPr>
        <b val="true"/>
        <sz val="10"/>
        <color rgb="FFA6192E"/>
        <rFont val="Arial"/>
        <family val="0"/>
        <charset val="1"/>
      </rPr>
      <t xml:space="preserve">G1 PONR</t>
    </r>
    <r>
      <rPr>
        <b val="true"/>
        <sz val="10"/>
        <color rgb="FFA6192E"/>
        <rFont val="Noto Sans CJK SC"/>
        <family val="2"/>
      </rPr>
      <t xml:space="preserve">，需客戶簽核後才進下一步</t>
    </r>
  </si>
  <si>
    <t xml:space="preserve">#6</t>
  </si>
  <si>
    <r>
      <rPr>
        <b val="true"/>
        <sz val="10.5"/>
        <color rgb="FFFFFFFF"/>
        <rFont val="Arial"/>
        <family val="0"/>
        <charset val="1"/>
      </rPr>
      <t xml:space="preserve">S05</t>
    </r>
    <r>
      <rPr>
        <b val="true"/>
        <sz val="10.5"/>
        <color rgb="FFFFFFFF"/>
        <rFont val="Noto Sans CJK SC"/>
        <family val="2"/>
      </rPr>
      <t xml:space="preserve">｜</t>
    </r>
    <r>
      <rPr>
        <b val="true"/>
        <sz val="10.5"/>
        <color rgb="FFFFFFFF"/>
        <rFont val="Arial"/>
        <family val="0"/>
        <charset val="1"/>
      </rPr>
      <t xml:space="preserve">Import vRA into VCF Operations</t>
    </r>
    <r>
      <rPr>
        <b val="true"/>
        <sz val="10.5"/>
        <color rgb="FFFFFFFF"/>
        <rFont val="Noto Sans CJK SC"/>
        <family val="2"/>
      </rPr>
      <t xml:space="preserve">｜</t>
    </r>
    <r>
      <rPr>
        <b val="true"/>
        <sz val="10.5"/>
        <color rgb="FFFFFFFF"/>
        <rFont val="Arial"/>
        <family val="0"/>
        <charset val="1"/>
      </rPr>
      <t xml:space="preserve">vRA </t>
    </r>
    <r>
      <rPr>
        <b val="true"/>
        <sz val="10.5"/>
        <color rgb="FFFFFFFF"/>
        <rFont val="Noto Sans CJK SC"/>
        <family val="2"/>
      </rPr>
      <t xml:space="preserve">匯入 </t>
    </r>
    <r>
      <rPr>
        <b val="true"/>
        <sz val="10.5"/>
        <color rgb="FFFFFFFF"/>
        <rFont val="Arial"/>
        <family val="0"/>
        <charset val="1"/>
      </rPr>
      <t xml:space="preserve">VCF Operations</t>
    </r>
    <r>
      <rPr>
        <b val="true"/>
        <sz val="10.5"/>
        <color rgb="FFFFFFFF"/>
        <rFont val="Noto Sans CJK SC"/>
        <family val="2"/>
      </rPr>
      <t xml:space="preserve">（</t>
    </r>
    <r>
      <rPr>
        <b val="true"/>
        <sz val="10.5"/>
        <color rgb="FFFFFFFF"/>
        <rFont val="Arial"/>
        <family val="0"/>
        <charset val="1"/>
      </rPr>
      <t xml:space="preserve">Fleet Lifecycle</t>
    </r>
    <r>
      <rPr>
        <b val="true"/>
        <sz val="10.5"/>
        <color rgb="FFFFFFFF"/>
        <rFont val="Noto Sans CJK SC"/>
        <family val="2"/>
      </rPr>
      <t xml:space="preserve">）｜</t>
    </r>
    <r>
      <rPr>
        <b val="true"/>
        <sz val="10.5"/>
        <color rgb="FFFFFFFF"/>
        <rFont val="Arial"/>
        <family val="0"/>
        <charset val="1"/>
      </rPr>
      <t xml:space="preserve">Lab 9.1.1</t>
    </r>
    <r>
      <rPr>
        <b val="true"/>
        <sz val="10.5"/>
        <color rgb="FFFFFFFF"/>
        <rFont val="Noto Sans CJK SC"/>
        <family val="2"/>
      </rPr>
      <t xml:space="preserve">：約 </t>
    </r>
    <r>
      <rPr>
        <b val="true"/>
        <sz val="10.5"/>
        <color rgb="FFFFFFFF"/>
        <rFont val="Arial"/>
        <family val="0"/>
        <charset val="1"/>
      </rPr>
      <t xml:space="preserve">5 </t>
    </r>
    <r>
      <rPr>
        <b val="true"/>
        <sz val="10.5"/>
        <color rgb="FFFFFFFF"/>
        <rFont val="Noto Sans CJK SC"/>
        <family val="2"/>
      </rPr>
      <t xml:space="preserve">分｜負責：</t>
    </r>
    <r>
      <rPr>
        <b val="true"/>
        <sz val="10.5"/>
        <color rgb="FFFFFFFF"/>
        <rFont val="Arial"/>
        <family val="0"/>
        <charset val="1"/>
      </rPr>
      <t xml:space="preserve">ENG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AUTO</t>
    </r>
  </si>
  <si>
    <t xml:space="preserve">S05-01</t>
  </si>
  <si>
    <r>
      <rPr>
        <sz val="10"/>
        <color rgb="FF222222"/>
        <rFont val="Arial"/>
        <family val="0"/>
        <charset val="1"/>
      </rPr>
      <t xml:space="preserve">vRA </t>
    </r>
    <r>
      <rPr>
        <sz val="10"/>
        <color rgb="FF222222"/>
        <rFont val="Noto Sans CJK SC"/>
        <family val="2"/>
      </rPr>
      <t xml:space="preserve">主節點已位於此 </t>
    </r>
    <r>
      <rPr>
        <sz val="10"/>
        <color rgb="FF222222"/>
        <rFont val="Arial"/>
        <family val="0"/>
        <charset val="1"/>
      </rPr>
      <t xml:space="preserve">VCF Instance </t>
    </r>
    <r>
      <rPr>
        <sz val="10"/>
        <color rgb="FF222222"/>
        <rFont val="Noto Sans CJK SC"/>
        <family val="2"/>
      </rPr>
      <t xml:space="preserve">的管理網域（</t>
    </r>
    <r>
      <rPr>
        <sz val="10"/>
        <color rgb="FF222222"/>
        <rFont val="Arial"/>
        <family val="0"/>
        <charset val="1"/>
      </rPr>
      <t xml:space="preserve">S01 </t>
    </r>
    <r>
      <rPr>
        <sz val="10"/>
        <color rgb="FF222222"/>
        <rFont val="Noto Sans CJK SC"/>
        <family val="2"/>
      </rPr>
      <t xml:space="preserve">完成），否則升級 </t>
    </r>
    <r>
      <rPr>
        <sz val="10"/>
        <color rgb="FF222222"/>
        <rFont val="Arial"/>
        <family val="0"/>
        <charset val="1"/>
      </rPr>
      <t xml:space="preserve">precheck </t>
    </r>
    <r>
      <rPr>
        <sz val="10"/>
        <color rgb="FF222222"/>
        <rFont val="Noto Sans CJK SC"/>
        <family val="2"/>
      </rPr>
      <t xml:space="preserve">會在 </t>
    </r>
    <r>
      <rPr>
        <sz val="10"/>
        <color rgb="FF222222"/>
        <rFont val="Arial"/>
        <family val="0"/>
        <charset val="1"/>
      </rPr>
      <t xml:space="preserve">import_vcfa </t>
    </r>
    <r>
      <rPr>
        <sz val="10"/>
        <color rgb="FF222222"/>
        <rFont val="Noto Sans CJK SC"/>
        <family val="2"/>
      </rPr>
      <t xml:space="preserve">失敗</t>
    </r>
  </si>
  <si>
    <r>
      <rPr>
        <sz val="9.5"/>
        <color rgb="FF222222"/>
        <rFont val="Arial"/>
        <family val="0"/>
        <charset val="1"/>
      </rPr>
      <t xml:space="preserve">TechDocs: Import an Existing VMware Aria Automation Instance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KB 425169</t>
    </r>
  </si>
  <si>
    <t xml:space="preserve">S05-02</t>
  </si>
  <si>
    <r>
      <rPr>
        <sz val="10"/>
        <color rgb="FF222222"/>
        <rFont val="Arial"/>
        <family val="0"/>
        <charset val="1"/>
      </rPr>
      <t xml:space="preserve">vRA ≥ 8.18.1</t>
    </r>
    <r>
      <rPr>
        <sz val="10"/>
        <color rgb="FF222222"/>
        <rFont val="Noto Sans CJK SC"/>
        <family val="2"/>
      </rPr>
      <t xml:space="preserve">、服務健康；</t>
    </r>
    <r>
      <rPr>
        <sz val="10"/>
        <color rgb="FF222222"/>
        <rFont val="Arial"/>
        <family val="0"/>
        <charset val="1"/>
      </rPr>
      <t xml:space="preserve">root </t>
    </r>
    <r>
      <rPr>
        <sz val="10"/>
        <color rgb="FF222222"/>
        <rFont val="Noto Sans CJK SC"/>
        <family val="2"/>
      </rPr>
      <t xml:space="preserve">密碼由保管工具提供</t>
    </r>
  </si>
  <si>
    <t xml:space="preserve">vracli status</t>
  </si>
  <si>
    <t xml:space="preserve">健康</t>
  </si>
  <si>
    <t xml:space="preserve">S05-03</t>
  </si>
  <si>
    <r>
      <rPr>
        <sz val="10"/>
        <color rgb="FF222222"/>
        <rFont val="Noto Sans CJK SC"/>
        <family val="2"/>
      </rPr>
      <t xml:space="preserve">每個 </t>
    </r>
    <r>
      <rPr>
        <sz val="10"/>
        <color rgb="FF222222"/>
        <rFont val="Arial"/>
        <family val="0"/>
        <charset val="1"/>
      </rPr>
      <t xml:space="preserve">fleet </t>
    </r>
    <r>
      <rPr>
        <sz val="10"/>
        <color rgb="FF222222"/>
        <rFont val="Noto Sans CJK SC"/>
        <family val="2"/>
      </rPr>
      <t xml:space="preserve">只支援一個 </t>
    </r>
    <r>
      <rPr>
        <sz val="10"/>
        <color rgb="FF222222"/>
        <rFont val="Arial"/>
        <family val="0"/>
        <charset val="1"/>
      </rPr>
      <t xml:space="preserve">VCF Automation </t>
    </r>
    <r>
      <rPr>
        <sz val="10"/>
        <color rgb="FF222222"/>
        <rFont val="Noto Sans CJK SC"/>
        <family val="2"/>
      </rPr>
      <t xml:space="preserve">實例 → 確認 </t>
    </r>
    <r>
      <rPr>
        <sz val="10"/>
        <color rgb="FF222222"/>
        <rFont val="Arial"/>
        <family val="0"/>
        <charset val="1"/>
      </rPr>
      <t xml:space="preserve">fleet </t>
    </r>
    <r>
      <rPr>
        <sz val="10"/>
        <color rgb="FF222222"/>
        <rFont val="Noto Sans CJK SC"/>
        <family val="2"/>
      </rPr>
      <t xml:space="preserve">內尚無 </t>
    </r>
    <r>
      <rPr>
        <sz val="10"/>
        <color rgb="FF222222"/>
        <rFont val="Arial"/>
        <family val="0"/>
        <charset val="1"/>
      </rPr>
      <t xml:space="preserve">VCFA</t>
    </r>
  </si>
  <si>
    <t xml:space="preserve">VCF Ops &gt; Lifecycle &gt; Components</t>
  </si>
  <si>
    <r>
      <rPr>
        <sz val="10"/>
        <color rgb="FF222222"/>
        <rFont val="Noto Sans CJK SC"/>
        <family val="2"/>
      </rPr>
      <t xml:space="preserve">無 </t>
    </r>
    <r>
      <rPr>
        <sz val="10"/>
        <color rgb="FF222222"/>
        <rFont val="Arial"/>
        <family val="0"/>
        <charset val="1"/>
      </rPr>
      <t xml:space="preserve">VCFA</t>
    </r>
  </si>
  <si>
    <t xml:space="preserve">TechDocs: Import an Existing VMware Aria Automation Instance</t>
  </si>
  <si>
    <t xml:space="preserve">S05-04</t>
  </si>
  <si>
    <r>
      <rPr>
        <sz val="10"/>
        <color rgb="FF222222"/>
        <rFont val="Arial"/>
        <family val="0"/>
        <charset val="1"/>
      </rPr>
      <t xml:space="preserve">Add Component &gt; VCF Automation &gt; Import 8.x appliance → VCF Instance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Primary node FQDN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root </t>
    </r>
    <r>
      <rPr>
        <sz val="10"/>
        <color rgb="FF222222"/>
        <rFont val="Noto Sans CJK SC"/>
        <family val="2"/>
      </rPr>
      <t xml:space="preserve">密碼 → </t>
    </r>
    <r>
      <rPr>
        <sz val="10"/>
        <color rgb="FF222222"/>
        <rFont val="Arial"/>
        <family val="0"/>
        <charset val="1"/>
      </rPr>
      <t xml:space="preserve">Trust </t>
    </r>
    <r>
      <rPr>
        <sz val="10"/>
        <color rgb="FF222222"/>
        <rFont val="Noto Sans CJK SC"/>
        <family val="2"/>
      </rPr>
      <t xml:space="preserve">憑證 → </t>
    </r>
    <r>
      <rPr>
        <sz val="10"/>
        <color rgb="FF222222"/>
        <rFont val="Arial"/>
        <family val="0"/>
        <charset val="1"/>
      </rPr>
      <t xml:space="preserve">Finish</t>
    </r>
  </si>
  <si>
    <t xml:space="preserve">VCF Ops &gt; Build &gt; Lifecycle &gt; VCF Management &gt; Components</t>
  </si>
  <si>
    <r>
      <rPr>
        <sz val="10"/>
        <color rgb="FF222222"/>
        <rFont val="Arial"/>
        <family val="0"/>
        <charset val="1"/>
      </rPr>
      <t xml:space="preserve">Task </t>
    </r>
    <r>
      <rPr>
        <sz val="10"/>
        <color rgb="FF222222"/>
        <rFont val="Noto Sans CJK SC"/>
        <family val="2"/>
      </rPr>
      <t xml:space="preserve">建立</t>
    </r>
  </si>
  <si>
    <t xml:space="preserve">S05-05</t>
  </si>
  <si>
    <r>
      <rPr>
        <sz val="10"/>
        <color rgb="FF222222"/>
        <rFont val="Noto Sans CJK SC"/>
        <family val="2"/>
      </rPr>
      <t xml:space="preserve">完成後按 </t>
    </r>
    <r>
      <rPr>
        <sz val="10"/>
        <color rgb="FF222222"/>
        <rFont val="Arial"/>
        <family val="0"/>
        <charset val="1"/>
      </rPr>
      <t xml:space="preserve">Sync</t>
    </r>
  </si>
  <si>
    <t xml:space="preserve">VCF Ops &gt; Lifecycle &gt; Sync</t>
  </si>
  <si>
    <t xml:space="preserve">S05-06</t>
  </si>
  <si>
    <r>
      <rPr>
        <sz val="10"/>
        <color rgb="FF222222"/>
        <rFont val="Arial"/>
        <family val="0"/>
        <charset val="1"/>
      </rPr>
      <t xml:space="preserve">Task</t>
    </r>
    <r>
      <rPr>
        <sz val="10"/>
        <color rgb="FF222222"/>
        <rFont val="Noto Sans CJK SC"/>
        <family val="2"/>
      </rPr>
      <t xml:space="preserve">『</t>
    </r>
    <r>
      <rPr>
        <sz val="10"/>
        <color rgb="FF222222"/>
        <rFont val="Arial"/>
        <family val="0"/>
        <charset val="1"/>
      </rPr>
      <t xml:space="preserve">Install components: VCF Automation</t>
    </r>
    <r>
      <rPr>
        <sz val="10"/>
        <color rgb="FF222222"/>
        <rFont val="Noto Sans CJK SC"/>
        <family val="2"/>
      </rPr>
      <t xml:space="preserve">』</t>
    </r>
    <r>
      <rPr>
        <sz val="10"/>
        <color rgb="FF222222"/>
        <rFont val="Arial"/>
        <family val="0"/>
        <charset val="1"/>
      </rPr>
      <t xml:space="preserve">Completed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Components </t>
    </r>
    <r>
      <rPr>
        <sz val="10"/>
        <color rgb="FF222222"/>
        <rFont val="Noto Sans CJK SC"/>
        <family val="2"/>
      </rPr>
      <t xml:space="preserve">出現 </t>
    </r>
    <r>
      <rPr>
        <sz val="10"/>
        <color rgb="FF222222"/>
        <rFont val="Arial"/>
        <family val="0"/>
        <charset val="1"/>
      </rPr>
      <t xml:space="preserve">VCF Automation 8.18.x</t>
    </r>
  </si>
  <si>
    <t xml:space="preserve">VCF Ops &gt; Lifecycle &gt; Tasks / Components</t>
  </si>
  <si>
    <t xml:space="preserve">Completed</t>
  </si>
  <si>
    <t xml:space="preserve">S05-07</t>
  </si>
  <si>
    <r>
      <rPr>
        <sz val="10"/>
        <color rgb="FF222222"/>
        <rFont val="Noto Sans CJK SC"/>
        <family val="2"/>
      </rPr>
      <t xml:space="preserve">來源 </t>
    </r>
    <r>
      <rPr>
        <sz val="10"/>
        <color rgb="FF222222"/>
        <rFont val="Arial"/>
        <family val="0"/>
        <charset val="1"/>
      </rPr>
      <t xml:space="preserve">vRA </t>
    </r>
    <r>
      <rPr>
        <sz val="10"/>
        <color rgb="FF222222"/>
        <rFont val="Noto Sans CJK SC"/>
        <family val="2"/>
      </rPr>
      <t xml:space="preserve">不受影響（服務、藍圖、部署正常，無快照）</t>
    </r>
  </si>
  <si>
    <t xml:space="preserve">正常</t>
  </si>
  <si>
    <t xml:space="preserve">S05-08</t>
  </si>
  <si>
    <r>
      <rPr>
        <sz val="10"/>
        <color rgb="FF222222"/>
        <rFont val="Arial"/>
        <family val="0"/>
        <charset val="1"/>
      </rPr>
      <t xml:space="preserve">Import </t>
    </r>
    <r>
      <rPr>
        <sz val="10"/>
        <color rgb="FF222222"/>
        <rFont val="Noto Sans CJK SC"/>
        <family val="2"/>
      </rPr>
      <t xml:space="preserve">只是註冊、來源不變；需撤除時依 </t>
    </r>
    <r>
      <rPr>
        <sz val="10"/>
        <color rgb="FF222222"/>
        <rFont val="Arial"/>
        <family val="0"/>
        <charset val="1"/>
      </rPr>
      <t xml:space="preserve">KB 441333 cleanup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CXS Lab 9.1.1 </t>
    </r>
    <r>
      <rPr>
        <sz val="10"/>
        <color rgb="FF222222"/>
        <rFont val="Noto Sans CJK SC"/>
        <family val="2"/>
      </rPr>
      <t xml:space="preserve">實測移除後可再匯入）</t>
    </r>
  </si>
  <si>
    <r>
      <rPr>
        <sz val="9.5"/>
        <color rgb="FF222222"/>
        <rFont val="Arial"/>
        <family val="0"/>
        <charset val="1"/>
      </rPr>
      <t xml:space="preserve">KB 441333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CXS Lab </t>
    </r>
    <r>
      <rPr>
        <sz val="9.5"/>
        <color rgb="FF222222"/>
        <rFont val="Noto Sans CJK SC"/>
        <family val="2"/>
      </rPr>
      <t xml:space="preserve">實測</t>
    </r>
  </si>
  <si>
    <t xml:space="preserve">#7</t>
  </si>
  <si>
    <r>
      <rPr>
        <b val="true"/>
        <sz val="10.5"/>
        <color rgb="FFFFFFFF"/>
        <rFont val="Arial"/>
        <family val="0"/>
        <charset val="1"/>
      </rPr>
      <t xml:space="preserve">S06</t>
    </r>
    <r>
      <rPr>
        <b val="true"/>
        <sz val="10.5"/>
        <color rgb="FFFFFFFF"/>
        <rFont val="Noto Sans CJK SC"/>
        <family val="2"/>
      </rPr>
      <t xml:space="preserve">｜</t>
    </r>
    <r>
      <rPr>
        <b val="true"/>
        <sz val="10.5"/>
        <color rgb="FFFFFFFF"/>
        <rFont val="Arial"/>
        <family val="0"/>
        <charset val="1"/>
      </rPr>
      <t xml:space="preserve">Upgrade vRA 8.18 to VCF Automation 9.1.1</t>
    </r>
    <r>
      <rPr>
        <b val="true"/>
        <sz val="10.5"/>
        <color rgb="FFFFFFFF"/>
        <rFont val="Noto Sans CJK SC"/>
        <family val="2"/>
      </rPr>
      <t xml:space="preserve">｜</t>
    </r>
    <r>
      <rPr>
        <b val="true"/>
        <sz val="10.5"/>
        <color rgb="FFFFFFFF"/>
        <rFont val="Arial"/>
        <family val="0"/>
        <charset val="1"/>
      </rPr>
      <t xml:space="preserve">vRA 8.18 → VCF Automation 9.1.1</t>
    </r>
    <r>
      <rPr>
        <b val="true"/>
        <sz val="10.5"/>
        <color rgb="FFFFFFFF"/>
        <rFont val="Noto Sans CJK SC"/>
        <family val="2"/>
      </rPr>
      <t xml:space="preserve">（藍綠升級）｜</t>
    </r>
    <r>
      <rPr>
        <b val="true"/>
        <sz val="10.5"/>
        <color rgb="FFFFFFFF"/>
        <rFont val="Arial"/>
        <family val="0"/>
        <charset val="1"/>
      </rPr>
      <t xml:space="preserve">G2 Gate</t>
    </r>
    <r>
      <rPr>
        <b val="true"/>
        <sz val="10.5"/>
        <color rgb="FFFFFFFF"/>
        <rFont val="Noto Sans CJK SC"/>
        <family val="2"/>
      </rPr>
      <t xml:space="preserve">｜</t>
    </r>
    <r>
      <rPr>
        <b val="true"/>
        <sz val="10.5"/>
        <color rgb="FFFFFFFF"/>
        <rFont val="Arial"/>
        <family val="0"/>
        <charset val="1"/>
      </rPr>
      <t xml:space="preserve">Lab 9.1.1</t>
    </r>
    <r>
      <rPr>
        <b val="true"/>
        <sz val="10.5"/>
        <color rgb="FFFFFFFF"/>
        <rFont val="Noto Sans CJK SC"/>
        <family val="2"/>
      </rPr>
      <t xml:space="preserve">（</t>
    </r>
    <r>
      <rPr>
        <b val="true"/>
        <sz val="10.5"/>
        <color rgb="FFFFFFFF"/>
        <rFont val="Arial"/>
        <family val="0"/>
        <charset val="1"/>
      </rPr>
      <t xml:space="preserve">10/7</t>
    </r>
    <r>
      <rPr>
        <b val="true"/>
        <sz val="10.5"/>
        <color rgb="FFFFFFFF"/>
        <rFont val="Noto Sans CJK SC"/>
        <family val="2"/>
      </rPr>
      <t xml:space="preserve">）：</t>
    </r>
    <r>
      <rPr>
        <b val="true"/>
        <sz val="10.5"/>
        <color rgb="FFFFFFFF"/>
        <rFont val="Arial"/>
        <family val="0"/>
        <charset val="1"/>
      </rPr>
      <t xml:space="preserve">precheck 36 </t>
    </r>
    <r>
      <rPr>
        <b val="true"/>
        <sz val="10.5"/>
        <color rgb="FFFFFFFF"/>
        <rFont val="Noto Sans CJK SC"/>
        <family val="2"/>
      </rPr>
      <t xml:space="preserve">分、升級 </t>
    </r>
    <r>
      <rPr>
        <b val="true"/>
        <sz val="10.5"/>
        <color rgb="FFFFFFFF"/>
        <rFont val="Arial"/>
        <family val="0"/>
        <charset val="1"/>
      </rPr>
      <t xml:space="preserve">4 h 47 m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vRA </t>
    </r>
    <r>
      <rPr>
        <b val="true"/>
        <sz val="10.5"/>
        <color rgb="FFFFFFFF"/>
        <rFont val="Noto Sans CJK SC"/>
        <family val="2"/>
      </rPr>
      <t xml:space="preserve">中斷約 </t>
    </r>
    <r>
      <rPr>
        <b val="true"/>
        <sz val="10.5"/>
        <color rgb="FFFFFFFF"/>
        <rFont val="Arial"/>
        <family val="0"/>
        <charset val="1"/>
      </rPr>
      <t xml:space="preserve">44 </t>
    </r>
    <r>
      <rPr>
        <b val="true"/>
        <sz val="10.5"/>
        <color rgb="FFFFFFFF"/>
        <rFont val="Noto Sans CJK SC"/>
        <family val="2"/>
      </rPr>
      <t xml:space="preserve">分｜負責：</t>
    </r>
    <r>
      <rPr>
        <b val="true"/>
        <sz val="10.5"/>
        <color rgb="FFFFFFFF"/>
        <rFont val="Arial"/>
        <family val="0"/>
        <charset val="1"/>
      </rPr>
      <t xml:space="preserve">ENG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AUTO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ARC</t>
    </r>
  </si>
  <si>
    <t xml:space="preserve">S06-01</t>
  </si>
  <si>
    <r>
      <rPr>
        <sz val="10"/>
        <color rgb="FF222222"/>
        <rFont val="Arial"/>
        <family val="0"/>
        <charset val="1"/>
      </rPr>
      <t xml:space="preserve">Depot </t>
    </r>
    <r>
      <rPr>
        <sz val="10"/>
        <color rgb="FF222222"/>
        <rFont val="Noto Sans CJK SC"/>
        <family val="2"/>
      </rPr>
      <t xml:space="preserve">已有 </t>
    </r>
    <r>
      <rPr>
        <sz val="10"/>
        <color rgb="FF222222"/>
        <rFont val="Arial"/>
        <family val="0"/>
        <charset val="1"/>
      </rPr>
      <t xml:space="preserve">VCFA 9.1.1 + Migration service engine 9.1.1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Sync </t>
    </r>
    <r>
      <rPr>
        <sz val="10"/>
        <color rgb="FF222222"/>
        <rFont val="Noto Sans CJK SC"/>
        <family val="2"/>
      </rPr>
      <t xml:space="preserve">後 </t>
    </r>
    <r>
      <rPr>
        <sz val="10"/>
        <color rgb="FF222222"/>
        <rFont val="Arial"/>
        <family val="0"/>
        <charset val="1"/>
      </rPr>
      <t xml:space="preserve">Upgrade </t>
    </r>
    <r>
      <rPr>
        <sz val="10"/>
        <color rgb="FF222222"/>
        <rFont val="Noto Sans CJK SC"/>
        <family val="2"/>
      </rPr>
      <t xml:space="preserve">頁出現 </t>
    </r>
    <r>
      <rPr>
        <sz val="10"/>
        <color rgb="FF222222"/>
        <rFont val="Arial"/>
        <family val="0"/>
        <charset val="1"/>
      </rPr>
      <t xml:space="preserve">VCFA </t>
    </r>
    <r>
      <rPr>
        <sz val="10"/>
        <color rgb="FF222222"/>
        <rFont val="Noto Sans CJK SC"/>
        <family val="2"/>
      </rPr>
      <t xml:space="preserve">列</t>
    </r>
  </si>
  <si>
    <t xml:space="preserve">VCF Ops &gt; Lifecycle &gt; Upgrade</t>
  </si>
  <si>
    <r>
      <rPr>
        <sz val="10"/>
        <color rgb="FF222222"/>
        <rFont val="Noto Sans CJK SC"/>
        <family val="2"/>
      </rPr>
      <t xml:space="preserve">出現 </t>
    </r>
    <r>
      <rPr>
        <sz val="10"/>
        <color rgb="FF222222"/>
        <rFont val="Arial"/>
        <family val="0"/>
        <charset val="1"/>
      </rPr>
      <t xml:space="preserve">VCFA </t>
    </r>
    <r>
      <rPr>
        <sz val="10"/>
        <color rgb="FF222222"/>
        <rFont val="Noto Sans CJK SC"/>
        <family val="2"/>
      </rPr>
      <t xml:space="preserve">列</t>
    </r>
  </si>
  <si>
    <r>
      <rPr>
        <sz val="9.5"/>
        <color rgb="FF222222"/>
        <rFont val="Arial"/>
        <family val="0"/>
        <charset val="1"/>
      </rPr>
      <t xml:space="preserve">TechDocs: Upgrading to VCF Automation 9.1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CXS Lab </t>
    </r>
    <r>
      <rPr>
        <sz val="9.5"/>
        <color rgb="FF222222"/>
        <rFont val="Noto Sans CJK SC"/>
        <family val="2"/>
      </rPr>
      <t xml:space="preserve">實測</t>
    </r>
  </si>
  <si>
    <t xml:space="preserve">S06-02</t>
  </si>
  <si>
    <r>
      <rPr>
        <sz val="10"/>
        <color rgb="FF222222"/>
        <rFont val="Arial"/>
        <family val="0"/>
        <charset val="1"/>
      </rPr>
      <t xml:space="preserve">Fleet </t>
    </r>
    <r>
      <rPr>
        <sz val="10"/>
        <color rgb="FF222222"/>
        <rFont val="Noto Sans CJK SC"/>
        <family val="2"/>
      </rPr>
      <t xml:space="preserve">元件 </t>
    </r>
    <r>
      <rPr>
        <sz val="10"/>
        <color rgb="FF222222"/>
        <rFont val="Arial"/>
        <family val="0"/>
        <charset val="1"/>
      </rPr>
      <t xml:space="preserve">/ VCF services runtime </t>
    </r>
    <r>
      <rPr>
        <sz val="10"/>
        <color rgb="FF222222"/>
        <rFont val="Noto Sans CJK SC"/>
        <family val="2"/>
      </rPr>
      <t xml:space="preserve">已是 </t>
    </r>
    <r>
      <rPr>
        <sz val="10"/>
        <color rgb="FF222222"/>
        <rFont val="Arial"/>
        <family val="0"/>
        <charset val="1"/>
      </rPr>
      <t xml:space="preserve">9.1.1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VCFA 9.1.1 </t>
    </r>
    <r>
      <rPr>
        <sz val="10"/>
        <color rgb="FF222222"/>
        <rFont val="Noto Sans CJK SC"/>
        <family val="2"/>
      </rPr>
      <t xml:space="preserve">需 </t>
    </r>
    <r>
      <rPr>
        <sz val="10"/>
        <color rgb="FF222222"/>
        <rFont val="Arial"/>
        <family val="0"/>
        <charset val="1"/>
      </rPr>
      <t xml:space="preserve">runtime 9.1.1</t>
    </r>
    <r>
      <rPr>
        <sz val="10"/>
        <color rgb="FF222222"/>
        <rFont val="Noto Sans CJK SC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precheck </t>
    </r>
    <r>
      <rPr>
        <sz val="10"/>
        <color rgb="FF222222"/>
        <rFont val="Noto Sans CJK SC"/>
        <family val="2"/>
      </rPr>
      <t xml:space="preserve">會驗）</t>
    </r>
  </si>
  <si>
    <t xml:space="preserve">S06-03</t>
  </si>
  <si>
    <r>
      <rPr>
        <sz val="10"/>
        <color rgb="FF222222"/>
        <rFont val="Arial"/>
        <family val="0"/>
        <charset val="1"/>
      </rPr>
      <t xml:space="preserve">IP</t>
    </r>
    <r>
      <rPr>
        <sz val="10"/>
        <color rgb="FF222222"/>
        <rFont val="Noto Sans CJK SC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5 </t>
    </r>
    <r>
      <rPr>
        <sz val="10"/>
        <color rgb="FF222222"/>
        <rFont val="Noto Sans CJK SC"/>
        <family val="2"/>
      </rPr>
      <t xml:space="preserve">個 </t>
    </r>
    <r>
      <rPr>
        <sz val="10"/>
        <color rgb="FF222222"/>
        <rFont val="Arial"/>
        <family val="0"/>
        <charset val="1"/>
      </rPr>
      <t xml:space="preserve">IP</t>
    </r>
    <r>
      <rPr>
        <sz val="10"/>
        <color rgb="FF222222"/>
        <rFont val="Noto Sans CJK SC"/>
        <family val="2"/>
      </rPr>
      <t xml:space="preserve">（可不連續或 </t>
    </r>
    <r>
      <rPr>
        <sz val="10"/>
        <color rgb="FF222222"/>
        <rFont val="Arial"/>
        <family val="0"/>
        <charset val="1"/>
      </rPr>
      <t xml:space="preserve">/29</t>
    </r>
    <r>
      <rPr>
        <sz val="10"/>
        <color rgb="FF222222"/>
        <rFont val="Noto Sans CJK SC"/>
        <family val="2"/>
      </rPr>
      <t xml:space="preserve">）與 </t>
    </r>
    <r>
      <rPr>
        <sz val="10"/>
        <color rgb="FF222222"/>
        <rFont val="Arial"/>
        <family val="0"/>
        <charset val="1"/>
      </rPr>
      <t xml:space="preserve">vRA </t>
    </r>
    <r>
      <rPr>
        <sz val="10"/>
        <color rgb="FF222222"/>
        <rFont val="Noto Sans CJK SC"/>
        <family val="2"/>
      </rPr>
      <t xml:space="preserve">同網段 </t>
    </r>
    <r>
      <rPr>
        <sz val="10"/>
        <color rgb="FF222222"/>
        <rFont val="Arial"/>
        <family val="0"/>
        <charset val="1"/>
      </rPr>
      <t xml:space="preserve">+ 1 </t>
    </r>
    <r>
      <rPr>
        <sz val="10"/>
        <color rgb="FF222222"/>
        <rFont val="Noto Sans CJK SC"/>
        <family val="2"/>
      </rPr>
      <t xml:space="preserve">個 </t>
    </r>
    <r>
      <rPr>
        <sz val="10"/>
        <color rgb="FF222222"/>
        <rFont val="Arial"/>
        <family val="0"/>
        <charset val="1"/>
      </rPr>
      <t xml:space="preserve">runtime FQDN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IP </t>
    </r>
    <r>
      <rPr>
        <sz val="10"/>
        <color rgb="FF222222"/>
        <rFont val="Noto Sans CJK SC"/>
        <family val="2"/>
      </rPr>
      <t xml:space="preserve">在 </t>
    </r>
    <r>
      <rPr>
        <sz val="10"/>
        <color rgb="FF222222"/>
        <rFont val="Arial"/>
        <family val="0"/>
        <charset val="1"/>
      </rPr>
      <t xml:space="preserve">pool </t>
    </r>
    <r>
      <rPr>
        <sz val="10"/>
        <color rgb="FF222222"/>
        <rFont val="Noto Sans CJK SC"/>
        <family val="2"/>
      </rPr>
      <t xml:space="preserve">外）；原 </t>
    </r>
    <r>
      <rPr>
        <sz val="10"/>
        <color rgb="FF222222"/>
        <rFont val="Arial"/>
        <family val="0"/>
        <charset val="1"/>
      </rPr>
      <t xml:space="preserve">vRA IP </t>
    </r>
    <r>
      <rPr>
        <sz val="10"/>
        <color rgb="FF222222"/>
        <rFont val="Noto Sans CJK SC"/>
        <family val="2"/>
      </rPr>
      <t xml:space="preserve">自動轉 </t>
    </r>
    <r>
      <rPr>
        <sz val="10"/>
        <color rgb="FF222222"/>
        <rFont val="Arial"/>
        <family val="0"/>
        <charset val="1"/>
      </rPr>
      <t xml:space="preserve">VIP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FQDN </t>
    </r>
    <r>
      <rPr>
        <sz val="10"/>
        <color rgb="FF222222"/>
        <rFont val="Noto Sans CJK SC"/>
        <family val="2"/>
      </rPr>
      <t xml:space="preserve">沿用</t>
    </r>
  </si>
  <si>
    <r>
      <rPr>
        <sz val="10"/>
        <color rgb="FF222222"/>
        <rFont val="Arial"/>
        <family val="0"/>
        <charset val="1"/>
      </rPr>
      <t xml:space="preserve">DNS </t>
    </r>
    <r>
      <rPr>
        <sz val="10"/>
        <color rgb="FF222222"/>
        <rFont val="Noto Sans CJK SC"/>
        <family val="2"/>
      </rPr>
      <t xml:space="preserve">就緒、</t>
    </r>
    <r>
      <rPr>
        <sz val="10"/>
        <color rgb="FF222222"/>
        <rFont val="Arial"/>
        <family val="0"/>
        <charset val="1"/>
      </rPr>
      <t xml:space="preserve">IP </t>
    </r>
    <r>
      <rPr>
        <sz val="10"/>
        <color rgb="FF222222"/>
        <rFont val="Noto Sans CJK SC"/>
        <family val="2"/>
      </rPr>
      <t xml:space="preserve">未使用</t>
    </r>
  </si>
  <si>
    <t xml:space="preserve">S06-04</t>
  </si>
  <si>
    <r>
      <rPr>
        <sz val="10"/>
        <color rgb="FF222222"/>
        <rFont val="Noto Sans CJK SC"/>
        <family val="2"/>
      </rPr>
      <t xml:space="preserve">端點憑證：</t>
    </r>
    <r>
      <rPr>
        <sz val="10"/>
        <color rgb="FF222222"/>
        <rFont val="Arial"/>
        <family val="0"/>
        <charset val="1"/>
      </rPr>
      <t xml:space="preserve">cloud account </t>
    </r>
    <r>
      <rPr>
        <sz val="10"/>
        <color rgb="FF222222"/>
        <rFont val="Noto Sans CJK SC"/>
        <family val="2"/>
      </rPr>
      <t xml:space="preserve">的 </t>
    </r>
    <r>
      <rPr>
        <sz val="10"/>
        <color rgb="FF222222"/>
        <rFont val="Arial"/>
        <family val="0"/>
        <charset val="1"/>
      </rPr>
      <t xml:space="preserve">vCenter / NSX </t>
    </r>
    <r>
      <rPr>
        <sz val="10"/>
        <color rgb="FF222222"/>
        <rFont val="Noto Sans CJK SC"/>
        <family val="2"/>
      </rPr>
      <t xml:space="preserve">憑證須已存入 </t>
    </r>
    <r>
      <rPr>
        <sz val="10"/>
        <color rgb="FF222222"/>
        <rFont val="Arial"/>
        <family val="0"/>
        <charset val="1"/>
      </rPr>
      <t xml:space="preserve">DB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UI </t>
    </r>
    <r>
      <rPr>
        <sz val="10"/>
        <color rgb="FF222222"/>
        <rFont val="Noto Sans CJK SC"/>
        <family val="2"/>
      </rPr>
      <t xml:space="preserve">驗證並 </t>
    </r>
    <r>
      <rPr>
        <sz val="10"/>
        <color rgb="FF222222"/>
        <rFont val="Arial"/>
        <family val="0"/>
        <charset val="1"/>
      </rPr>
      <t xml:space="preserve">Accept </t>
    </r>
    <r>
      <rPr>
        <sz val="10"/>
        <color rgb="FF222222"/>
        <rFont val="Noto Sans CJK SC"/>
        <family val="2"/>
      </rPr>
      <t xml:space="preserve">過者會持久化，</t>
    </r>
    <r>
      <rPr>
        <sz val="10"/>
        <color rgb="FF222222"/>
        <rFont val="Arial"/>
        <family val="0"/>
        <charset val="1"/>
      </rPr>
      <t xml:space="preserve">CXS Lab 10/7 precheck </t>
    </r>
    <r>
      <rPr>
        <sz val="10"/>
        <color rgb="FF222222"/>
        <rFont val="Noto Sans CJK SC"/>
        <family val="2"/>
      </rPr>
      <t xml:space="preserve">一次過）；若 </t>
    </r>
    <r>
      <rPr>
        <sz val="10"/>
        <color rgb="FF222222"/>
        <rFont val="Arial"/>
        <family val="0"/>
        <charset val="1"/>
      </rPr>
      <t xml:space="preserve">precheck </t>
    </r>
    <r>
      <rPr>
        <sz val="10"/>
        <color rgb="FF222222"/>
        <rFont val="Noto Sans CJK SC"/>
        <family val="2"/>
      </rPr>
      <t xml:space="preserve">報 </t>
    </r>
    <r>
      <rPr>
        <sz val="10"/>
        <color rgb="FF222222"/>
        <rFont val="Arial"/>
        <family val="0"/>
        <charset val="1"/>
      </rPr>
      <t xml:space="preserve">endpoint certificates → </t>
    </r>
    <r>
      <rPr>
        <sz val="10"/>
        <color rgb="FF222222"/>
        <rFont val="Noto Sans CJK SC"/>
        <family val="2"/>
      </rPr>
      <t xml:space="preserve">先 </t>
    </r>
    <r>
      <rPr>
        <sz val="10"/>
        <color rgb="FF222222"/>
        <rFont val="Arial"/>
        <family val="0"/>
        <charset val="1"/>
      </rPr>
      <t xml:space="preserve">snapshot </t>
    </r>
    <r>
      <rPr>
        <sz val="10"/>
        <color rgb="FF222222"/>
        <rFont val="Noto Sans CJK SC"/>
        <family val="2"/>
      </rPr>
      <t xml:space="preserve">再跑 </t>
    </r>
    <r>
      <rPr>
        <sz val="10"/>
        <color rgb="FF222222"/>
        <rFont val="Arial"/>
        <family val="0"/>
        <charset val="1"/>
      </rPr>
      <t xml:space="preserve">KB 425489 </t>
    </r>
    <r>
      <rPr>
        <sz val="10"/>
        <color rgb="FF222222"/>
        <rFont val="Noto Sans CJK SC"/>
        <family val="2"/>
      </rPr>
      <t xml:space="preserve">腳本。另查 </t>
    </r>
    <r>
      <rPr>
        <sz val="10"/>
        <color rgb="FF222222"/>
        <rFont val="Arial"/>
        <family val="0"/>
        <charset val="1"/>
      </rPr>
      <t xml:space="preserve">KB 389563 </t>
    </r>
    <r>
      <rPr>
        <sz val="10"/>
        <color rgb="FF222222"/>
        <rFont val="Noto Sans CJK SC"/>
        <family val="2"/>
      </rPr>
      <t xml:space="preserve">不支援 </t>
    </r>
    <r>
      <rPr>
        <sz val="10"/>
        <color rgb="FF222222"/>
        <rFont val="Arial"/>
        <family val="0"/>
        <charset val="1"/>
      </rPr>
      <t xml:space="preserve">endpoints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KB 447667 FIPS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KB 450345</t>
    </r>
  </si>
  <si>
    <r>
      <rPr>
        <sz val="9.5"/>
        <color rgb="FF222222"/>
        <rFont val="Arial"/>
        <family val="0"/>
        <charset val="1"/>
      </rPr>
      <t xml:space="preserve">Precheck details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vRA </t>
    </r>
    <r>
      <rPr>
        <sz val="9.5"/>
        <color rgb="FF222222"/>
        <rFont val="Noto Sans CJK SC"/>
        <family val="2"/>
      </rPr>
      <t xml:space="preserve">主節點 </t>
    </r>
    <r>
      <rPr>
        <sz val="9.5"/>
        <color rgb="FF222222"/>
        <rFont val="Arial"/>
        <family val="0"/>
        <charset val="1"/>
      </rPr>
      <t xml:space="preserve">SSH</t>
    </r>
  </si>
  <si>
    <t xml:space="preserve">precheck Passed</t>
  </si>
  <si>
    <r>
      <rPr>
        <sz val="9.5"/>
        <color rgb="FF222222"/>
        <rFont val="Arial"/>
        <family val="0"/>
        <charset val="1"/>
      </rPr>
      <t xml:space="preserve">KB 425489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KB 389563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KB 447667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KB 450345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CXS Lab </t>
    </r>
    <r>
      <rPr>
        <sz val="9.5"/>
        <color rgb="FF222222"/>
        <rFont val="Noto Sans CJK SC"/>
        <family val="2"/>
      </rPr>
      <t xml:space="preserve">實測</t>
    </r>
  </si>
  <si>
    <t xml:space="preserve">S06-05</t>
  </si>
  <si>
    <r>
      <rPr>
        <sz val="10"/>
        <color rgb="FF222222"/>
        <rFont val="Noto Sans CJK SC"/>
        <family val="2"/>
      </rPr>
      <t xml:space="preserve">排定 </t>
    </r>
    <r>
      <rPr>
        <sz val="10"/>
        <color rgb="FF222222"/>
        <rFont val="Arial"/>
        <family val="0"/>
        <charset val="1"/>
      </rPr>
      <t xml:space="preserve">vRA </t>
    </r>
    <r>
      <rPr>
        <sz val="10"/>
        <color rgb="FF222222"/>
        <rFont val="Noto Sans CJK SC"/>
        <family val="2"/>
      </rPr>
      <t xml:space="preserve">服務中斷窗口：來源關機 → 新 </t>
    </r>
    <r>
      <rPr>
        <sz val="10"/>
        <color rgb="FF222222"/>
        <rFont val="Arial"/>
        <family val="0"/>
        <charset val="1"/>
      </rPr>
      <t xml:space="preserve">gateway </t>
    </r>
    <r>
      <rPr>
        <sz val="10"/>
        <color rgb="FF222222"/>
        <rFont val="Noto Sans CJK SC"/>
        <family val="2"/>
      </rPr>
      <t xml:space="preserve">接管（</t>
    </r>
    <r>
      <rPr>
        <sz val="10"/>
        <color rgb="FF222222"/>
        <rFont val="Arial"/>
        <family val="0"/>
        <charset val="1"/>
      </rPr>
      <t xml:space="preserve">CXS Lab 10/7 </t>
    </r>
    <r>
      <rPr>
        <sz val="10"/>
        <color rgb="FF222222"/>
        <rFont val="Noto Sans CJK SC"/>
        <family val="2"/>
      </rPr>
      <t xml:space="preserve">約 </t>
    </r>
    <r>
      <rPr>
        <sz val="10"/>
        <color rgb="FF222222"/>
        <rFont val="Arial"/>
        <family val="0"/>
        <charset val="1"/>
      </rPr>
      <t xml:space="preserve">44 </t>
    </r>
    <r>
      <rPr>
        <sz val="10"/>
        <color rgb="FF222222"/>
        <rFont val="Noto Sans CJK SC"/>
        <family val="2"/>
      </rPr>
      <t xml:space="preserve">分）</t>
    </r>
  </si>
  <si>
    <t xml:space="preserve">窗口核准</t>
  </si>
  <si>
    <t xml:space="preserve">S06-06</t>
  </si>
  <si>
    <r>
      <rPr>
        <sz val="10"/>
        <color rgb="FF222222"/>
        <rFont val="Noto Sans CJK SC"/>
        <family val="2"/>
      </rPr>
      <t xml:space="preserve">資源：藍綠期間新舊並存約 </t>
    </r>
    <r>
      <rPr>
        <sz val="10"/>
        <color rgb="FF222222"/>
        <rFont val="Arial"/>
        <family val="0"/>
        <charset val="1"/>
      </rPr>
      <t xml:space="preserve">2 </t>
    </r>
    <r>
      <rPr>
        <sz val="10"/>
        <color rgb="FF222222"/>
        <rFont val="Noto Sans CJK SC"/>
        <family val="2"/>
      </rPr>
      <t xml:space="preserve">倍；新 </t>
    </r>
    <r>
      <rPr>
        <sz val="10"/>
        <color rgb="FF222222"/>
        <rFont val="Arial"/>
        <family val="0"/>
        <charset val="1"/>
      </rPr>
      <t xml:space="preserve">runtime </t>
    </r>
    <r>
      <rPr>
        <sz val="10"/>
        <color rgb="FF222222"/>
        <rFont val="Noto Sans CJK SC"/>
        <family val="2"/>
      </rPr>
      <t xml:space="preserve">節點 </t>
    </r>
    <r>
      <rPr>
        <sz val="10"/>
        <color rgb="FF222222"/>
        <rFont val="Arial"/>
        <family val="0"/>
        <charset val="1"/>
      </rPr>
      <t xml:space="preserve">24 vCPU / 96 GB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Lab Simple</t>
    </r>
    <r>
      <rPr>
        <sz val="10"/>
        <color rgb="FF222222"/>
        <rFont val="Noto Sans CJK SC"/>
        <family val="2"/>
      </rPr>
      <t xml:space="preserve">）</t>
    </r>
  </si>
  <si>
    <t xml:space="preserve">S06-07</t>
  </si>
  <si>
    <r>
      <rPr>
        <sz val="10"/>
        <color rgb="FF222222"/>
        <rFont val="Arial"/>
        <family val="0"/>
        <charset val="1"/>
      </rPr>
      <t xml:space="preserve">9.1.1 </t>
    </r>
    <r>
      <rPr>
        <sz val="10"/>
        <color rgb="FF222222"/>
        <rFont val="Noto Sans CJK SC"/>
        <family val="2"/>
      </rPr>
      <t xml:space="preserve">起 </t>
    </r>
    <r>
      <rPr>
        <sz val="10"/>
        <color rgb="FF222222"/>
        <rFont val="Arial"/>
        <family val="0"/>
        <charset val="1"/>
      </rPr>
      <t xml:space="preserve">public cloud endpoints </t>
    </r>
    <r>
      <rPr>
        <sz val="10"/>
        <color rgb="FF222222"/>
        <rFont val="Noto Sans CJK SC"/>
        <family val="2"/>
      </rPr>
      <t xml:space="preserve">已 </t>
    </r>
    <r>
      <rPr>
        <sz val="10"/>
        <color rgb="FF222222"/>
        <rFont val="Arial"/>
        <family val="0"/>
        <charset val="1"/>
      </rPr>
      <t xml:space="preserve">deprecated</t>
    </r>
    <r>
      <rPr>
        <sz val="10"/>
        <color rgb="FF222222"/>
        <rFont val="Noto Sans CJK SC"/>
        <family val="2"/>
      </rPr>
      <t xml:space="preserve">、升級後預設關閉 → 確認未使用</t>
    </r>
  </si>
  <si>
    <t xml:space="preserve">Cloud Assembly &gt; Cloud Accounts</t>
  </si>
  <si>
    <t xml:space="preserve">已確認</t>
  </si>
  <si>
    <r>
      <rPr>
        <sz val="9.5"/>
        <color rgb="FF222222"/>
        <rFont val="Arial"/>
        <family val="0"/>
        <charset val="1"/>
      </rPr>
      <t xml:space="preserve">VCFA </t>
    </r>
    <r>
      <rPr>
        <sz val="9.5"/>
        <color rgb="FF222222"/>
        <rFont val="Noto Sans CJK SC"/>
        <family val="2"/>
      </rPr>
      <t xml:space="preserve">升級精靈 </t>
    </r>
    <r>
      <rPr>
        <sz val="9.5"/>
        <color rgb="FF222222"/>
        <rFont val="Arial"/>
        <family val="0"/>
        <charset val="1"/>
      </rPr>
      <t xml:space="preserve">/ VCF Automation 9.1.1 Release Notes</t>
    </r>
  </si>
  <si>
    <t xml:space="preserve">S06-08</t>
  </si>
  <si>
    <r>
      <rPr>
        <sz val="10"/>
        <color rgb="FF222222"/>
        <rFont val="Noto Sans CJK SC"/>
        <family val="2"/>
      </rPr>
      <t xml:space="preserve">保留 </t>
    </r>
    <r>
      <rPr>
        <sz val="10"/>
        <color rgb="FF222222"/>
        <rFont val="Arial"/>
        <family val="0"/>
        <charset val="1"/>
      </rPr>
      <t xml:space="preserve">vIDM</t>
    </r>
    <r>
      <rPr>
        <sz val="10"/>
        <color rgb="FF222222"/>
        <rFont val="Noto Sans CJK SC"/>
        <family val="2"/>
      </rPr>
      <t xml:space="preserve">（仍是 </t>
    </r>
    <r>
      <rPr>
        <sz val="10"/>
        <color rgb="FF222222"/>
        <rFont val="Arial"/>
        <family val="0"/>
        <charset val="1"/>
      </rPr>
      <t xml:space="preserve">VCFA 9.1 </t>
    </r>
    <r>
      <rPr>
        <sz val="10"/>
        <color rgb="FF222222"/>
        <rFont val="Noto Sans CJK SC"/>
        <family val="2"/>
      </rPr>
      <t xml:space="preserve">驗證來源）與 </t>
    </r>
    <r>
      <rPr>
        <sz val="10"/>
        <color rgb="FF222222"/>
        <rFont val="Arial"/>
        <family val="0"/>
        <charset val="1"/>
      </rPr>
      <t xml:space="preserve">Aria Suite Lifecycle 8.x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vIDM Day-N</t>
    </r>
    <r>
      <rPr>
        <sz val="10"/>
        <color rgb="FF222222"/>
        <rFont val="Noto Sans CJK SC"/>
        <family val="2"/>
      </rPr>
      <t xml:space="preserve">）</t>
    </r>
  </si>
  <si>
    <t xml:space="preserve">S06-09</t>
  </si>
  <si>
    <t xml:space="preserve">升級精靈密碼欄位：清掉自動產生值，改用保管工具內的標準密碼（自動產生值部署後看不到）</t>
  </si>
  <si>
    <t xml:space="preserve">S06-10</t>
  </si>
  <si>
    <r>
      <rPr>
        <sz val="10"/>
        <color rgb="FF222222"/>
        <rFont val="Arial"/>
        <family val="0"/>
        <charset val="1"/>
      </rPr>
      <t xml:space="preserve">Sync </t>
    </r>
    <r>
      <rPr>
        <sz val="10"/>
        <color rgb="FF222222"/>
        <rFont val="Noto Sans CJK SC"/>
        <family val="2"/>
      </rPr>
      <t xml:space="preserve">後重新整理頁面，</t>
    </r>
    <r>
      <rPr>
        <sz val="10"/>
        <color rgb="FF222222"/>
        <rFont val="Arial"/>
        <family val="0"/>
        <charset val="1"/>
      </rPr>
      <t xml:space="preserve">Upgrade </t>
    </r>
    <r>
      <rPr>
        <sz val="10"/>
        <color rgb="FF222222"/>
        <rFont val="Noto Sans CJK SC"/>
        <family val="2"/>
      </rPr>
      <t xml:space="preserve">頁才會出現 </t>
    </r>
    <r>
      <rPr>
        <sz val="10"/>
        <color rgb="FF222222"/>
        <rFont val="Arial"/>
        <family val="0"/>
        <charset val="1"/>
      </rPr>
      <t xml:space="preserve">VCFA </t>
    </r>
    <r>
      <rPr>
        <sz val="10"/>
        <color rgb="FF222222"/>
        <rFont val="Noto Sans CJK SC"/>
        <family val="2"/>
      </rPr>
      <t xml:space="preserve">列（</t>
    </r>
    <r>
      <rPr>
        <sz val="10"/>
        <color rgb="FF222222"/>
        <rFont val="Arial"/>
        <family val="0"/>
        <charset val="1"/>
      </rPr>
      <t xml:space="preserve">8.18.1 → 9.1.1</t>
    </r>
    <r>
      <rPr>
        <sz val="10"/>
        <color rgb="FF222222"/>
        <rFont val="Noto Sans CJK SC"/>
        <family val="2"/>
      </rPr>
      <t xml:space="preserve">）</t>
    </r>
  </si>
  <si>
    <t xml:space="preserve">Pending configuration</t>
  </si>
  <si>
    <t xml:space="preserve">S06-11</t>
  </si>
  <si>
    <r>
      <rPr>
        <sz val="10"/>
        <color rgb="FF222222"/>
        <rFont val="Arial"/>
        <family val="0"/>
        <charset val="1"/>
      </rPr>
      <t xml:space="preserve">VCFA </t>
    </r>
    <r>
      <rPr>
        <sz val="10"/>
        <color rgb="FF222222"/>
        <rFont val="Noto Sans CJK SC"/>
        <family val="2"/>
      </rPr>
      <t xml:space="preserve">列 </t>
    </r>
    <r>
      <rPr>
        <sz val="10"/>
        <color rgb="FF222222"/>
        <rFont val="Arial"/>
        <family val="0"/>
        <charset val="1"/>
      </rPr>
      <t xml:space="preserve">&gt; Configure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IP pool / FQDN / </t>
    </r>
    <r>
      <rPr>
        <sz val="10"/>
        <color rgb="FF222222"/>
        <rFont val="Noto Sans CJK SC"/>
        <family val="2"/>
      </rPr>
      <t xml:space="preserve">密碼）→ </t>
    </r>
    <r>
      <rPr>
        <sz val="10"/>
        <color rgb="FF222222"/>
        <rFont val="Arial"/>
        <family val="0"/>
        <charset val="1"/>
      </rPr>
      <t xml:space="preserve">Run Prechecks</t>
    </r>
    <r>
      <rPr>
        <sz val="10"/>
        <color rgb="FF222222"/>
        <rFont val="Noto Sans CJK SC"/>
        <family val="2"/>
      </rPr>
      <t xml:space="preserve">（全部 </t>
    </r>
    <r>
      <rPr>
        <sz val="10"/>
        <color rgb="FF222222"/>
        <rFont val="Arial"/>
        <family val="0"/>
        <charset val="1"/>
      </rPr>
      <t xml:space="preserve">SUCCEEDED</t>
    </r>
    <r>
      <rPr>
        <sz val="10"/>
        <color rgb="FF222222"/>
        <rFont val="Noto Sans CJK SC"/>
        <family val="2"/>
      </rPr>
      <t xml:space="preserve">）→ </t>
    </r>
    <r>
      <rPr>
        <sz val="10"/>
        <color rgb="FF222222"/>
        <rFont val="Arial"/>
        <family val="0"/>
        <charset val="1"/>
      </rPr>
      <t xml:space="preserve">Upgrade</t>
    </r>
    <r>
      <rPr>
        <sz val="10"/>
        <color rgb="FF222222"/>
        <rFont val="Noto Sans CJK SC"/>
        <family val="2"/>
      </rPr>
      <t xml:space="preserve">（無確認框，按下即開始）</t>
    </r>
  </si>
  <si>
    <r>
      <rPr>
        <sz val="10"/>
        <color rgb="FF222222"/>
        <rFont val="Arial"/>
        <family val="0"/>
        <charset val="1"/>
      </rPr>
      <t xml:space="preserve">Precheck </t>
    </r>
    <r>
      <rPr>
        <sz val="10"/>
        <color rgb="FF222222"/>
        <rFont val="Noto Sans CJK SC"/>
        <family val="2"/>
      </rPr>
      <t xml:space="preserve">全過</t>
    </r>
  </si>
  <si>
    <t xml:space="preserve">TechDocs: Perform the Upgrade to VCF Automation 9.1</t>
  </si>
  <si>
    <t xml:space="preserve">S06-12</t>
  </si>
  <si>
    <r>
      <rPr>
        <sz val="10"/>
        <color rgb="FF222222"/>
        <rFont val="Noto Sans CJK SC"/>
        <family val="2"/>
      </rPr>
      <t xml:space="preserve">監看階段：部署新 </t>
    </r>
    <r>
      <rPr>
        <sz val="10"/>
        <color rgb="FF222222"/>
        <rFont val="Arial"/>
        <family val="0"/>
        <charset val="1"/>
      </rPr>
      <t xml:space="preserve">runtime</t>
    </r>
    <r>
      <rPr>
        <sz val="10"/>
        <color rgb="FF222222"/>
        <rFont val="Noto Sans CJK SC"/>
        <family val="2"/>
      </rPr>
      <t xml:space="preserve">（約 </t>
    </r>
    <r>
      <rPr>
        <sz val="10"/>
        <color rgb="FF222222"/>
        <rFont val="Arial"/>
        <family val="0"/>
        <charset val="1"/>
      </rPr>
      <t xml:space="preserve">2 h</t>
    </r>
    <r>
      <rPr>
        <sz val="10"/>
        <color rgb="FF222222"/>
        <rFont val="Noto Sans CJK SC"/>
        <family val="2"/>
      </rPr>
      <t xml:space="preserve">）→ </t>
    </r>
    <r>
      <rPr>
        <sz val="10"/>
        <color rgb="FF222222"/>
        <rFont val="Arial"/>
        <family val="0"/>
        <charset val="1"/>
      </rPr>
      <t xml:space="preserve">import → prechecks → upgrade</t>
    </r>
    <r>
      <rPr>
        <sz val="10"/>
        <color rgb="FF222222"/>
        <rFont val="Noto Sans CJK SC"/>
        <family val="2"/>
      </rPr>
      <t xml:space="preserve">；完成後來源節點自動關機</t>
    </r>
  </si>
  <si>
    <t xml:space="preserve">VCF Ops &gt; Lifecycle &gt; Tasks</t>
  </si>
  <si>
    <t xml:space="preserve">S06-13</t>
  </si>
  <si>
    <r>
      <rPr>
        <sz val="10"/>
        <color rgb="FF222222"/>
        <rFont val="Arial"/>
        <family val="0"/>
        <charset val="1"/>
      </rPr>
      <t xml:space="preserve">Tenant /automation/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vIDM</t>
    </r>
    <r>
      <rPr>
        <sz val="10"/>
        <color rgb="FF222222"/>
        <rFont val="Noto Sans CJK SC"/>
        <family val="2"/>
      </rPr>
      <t xml:space="preserve">）與 </t>
    </r>
    <r>
      <rPr>
        <sz val="10"/>
        <color rgb="FF222222"/>
        <rFont val="Arial"/>
        <family val="0"/>
        <charset val="1"/>
      </rPr>
      <t xml:space="preserve">Provider /provider </t>
    </r>
    <r>
      <rPr>
        <sz val="10"/>
        <color rgb="FF222222"/>
        <rFont val="Noto Sans CJK SC"/>
        <family val="2"/>
      </rPr>
      <t xml:space="preserve">可登入；版本 </t>
    </r>
    <r>
      <rPr>
        <sz val="10"/>
        <color rgb="FF222222"/>
        <rFont val="Arial"/>
        <family val="0"/>
        <charset val="1"/>
      </rPr>
      <t xml:space="preserve">9.1.1</t>
    </r>
  </si>
  <si>
    <t xml:space="preserve">https://&lt;vra-fqdn&gt;/automation/ ; /provider</t>
  </si>
  <si>
    <t xml:space="preserve">S06-14</t>
  </si>
  <si>
    <r>
      <rPr>
        <sz val="10"/>
        <color rgb="FF222222"/>
        <rFont val="Arial"/>
        <family val="0"/>
        <charset val="1"/>
      </rPr>
      <t xml:space="preserve">Projects / Cloud Accounts / Blueprints / Deployments </t>
    </r>
    <r>
      <rPr>
        <sz val="10"/>
        <color rgb="FF222222"/>
        <rFont val="Noto Sans CJK SC"/>
        <family val="2"/>
      </rPr>
      <t xml:space="preserve">完整；既有部署 </t>
    </r>
    <r>
      <rPr>
        <sz val="10"/>
        <color rgb="FF222222"/>
        <rFont val="Arial"/>
        <family val="0"/>
        <charset val="1"/>
      </rPr>
      <t xml:space="preserve">Day-2 </t>
    </r>
    <r>
      <rPr>
        <sz val="10"/>
        <color rgb="FF222222"/>
        <rFont val="Noto Sans CJK SC"/>
        <family val="2"/>
      </rPr>
      <t xml:space="preserve">與新 </t>
    </r>
    <r>
      <rPr>
        <sz val="10"/>
        <color rgb="FF222222"/>
        <rFont val="Arial"/>
        <family val="0"/>
        <charset val="1"/>
      </rPr>
      <t xml:space="preserve">catalog </t>
    </r>
    <r>
      <rPr>
        <sz val="10"/>
        <color rgb="FF222222"/>
        <rFont val="Noto Sans CJK SC"/>
        <family val="2"/>
      </rPr>
      <t xml:space="preserve">請求成功</t>
    </r>
  </si>
  <si>
    <t xml:space="preserve">S06-15</t>
  </si>
  <si>
    <r>
      <rPr>
        <sz val="10"/>
        <color rgb="FF222222"/>
        <rFont val="Noto Sans CJK SC"/>
        <family val="2"/>
      </rPr>
      <t xml:space="preserve">若 </t>
    </r>
    <r>
      <rPr>
        <sz val="10"/>
        <color rgb="FF222222"/>
        <rFont val="Arial"/>
        <family val="0"/>
        <charset val="1"/>
      </rPr>
      <t xml:space="preserve">Fleet </t>
    </r>
    <r>
      <rPr>
        <sz val="10"/>
        <color rgb="FF222222"/>
        <rFont val="Noto Sans CJK SC"/>
        <family val="2"/>
      </rPr>
      <t xml:space="preserve">顯示 </t>
    </r>
    <r>
      <rPr>
        <sz val="10"/>
        <color rgb="FF222222"/>
        <rFont val="Arial"/>
        <family val="0"/>
        <charset val="1"/>
      </rPr>
      <t xml:space="preserve">Upgrade failed</t>
    </r>
    <r>
      <rPr>
        <sz val="10"/>
        <color rgb="FF222222"/>
        <rFont val="Noto Sans CJK SC"/>
        <family val="2"/>
      </rPr>
      <t xml:space="preserve">：先驗四項證據（</t>
    </r>
    <r>
      <rPr>
        <sz val="10"/>
        <color rgb="FF222222"/>
        <rFont val="Arial"/>
        <family val="0"/>
        <charset val="1"/>
      </rPr>
      <t xml:space="preserve">vcfa-bundle Successful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pods Running</t>
    </r>
    <r>
      <rPr>
        <sz val="10"/>
        <color rgb="FF222222"/>
        <rFont val="Noto Sans CJK SC"/>
        <family val="2"/>
      </rPr>
      <t xml:space="preserve">、來源 </t>
    </r>
    <r>
      <rPr>
        <sz val="10"/>
        <color rgb="FF222222"/>
        <rFont val="Arial"/>
        <family val="0"/>
        <charset val="1"/>
      </rPr>
      <t xml:space="preserve">VM </t>
    </r>
    <r>
      <rPr>
        <sz val="10"/>
        <color rgb="FF222222"/>
        <rFont val="Noto Sans CJK SC"/>
        <family val="2"/>
      </rPr>
      <t xml:space="preserve">已關機、</t>
    </r>
    <r>
      <rPr>
        <sz val="10"/>
        <color rgb="FF222222"/>
        <rFont val="Arial"/>
        <family val="0"/>
        <charset val="1"/>
      </rPr>
      <t xml:space="preserve">FQDN </t>
    </r>
    <r>
      <rPr>
        <sz val="10"/>
        <color rgb="FF222222"/>
        <rFont val="Noto Sans CJK SC"/>
        <family val="2"/>
      </rPr>
      <t xml:space="preserve">回 </t>
    </r>
    <r>
      <rPr>
        <sz val="10"/>
        <color rgb="FF222222"/>
        <rFont val="Arial"/>
        <family val="0"/>
        <charset val="1"/>
      </rPr>
      <t xml:space="preserve">9.1.1</t>
    </r>
    <r>
      <rPr>
        <sz val="10"/>
        <color rgb="FF222222"/>
        <rFont val="Noto Sans CJK SC"/>
        <family val="2"/>
      </rPr>
      <t xml:space="preserve">）再決定是否退版，並開 </t>
    </r>
    <r>
      <rPr>
        <sz val="10"/>
        <color rgb="FF222222"/>
        <rFont val="Arial"/>
        <family val="0"/>
        <charset val="1"/>
      </rPr>
      <t xml:space="preserve">SR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9.1.0.0400 </t>
    </r>
    <r>
      <rPr>
        <sz val="10"/>
        <color rgb="FF222222"/>
        <rFont val="Noto Sans CJK SC"/>
        <family val="2"/>
      </rPr>
      <t xml:space="preserve">時 </t>
    </r>
    <r>
      <rPr>
        <sz val="10"/>
        <color rgb="FF222222"/>
        <rFont val="Arial"/>
        <family val="0"/>
        <charset val="1"/>
      </rPr>
      <t xml:space="preserve">Lab </t>
    </r>
    <r>
      <rPr>
        <sz val="10"/>
        <color rgb="FF222222"/>
        <rFont val="Noto Sans CJK SC"/>
        <family val="2"/>
      </rPr>
      <t xml:space="preserve">曾發生；</t>
    </r>
    <r>
      <rPr>
        <sz val="10"/>
        <color rgb="FF222222"/>
        <rFont val="Arial"/>
        <family val="0"/>
        <charset val="1"/>
      </rPr>
      <t xml:space="preserve">9.1.1 Lab </t>
    </r>
    <r>
      <rPr>
        <sz val="10"/>
        <color rgb="FF222222"/>
        <rFont val="Noto Sans CJK SC"/>
        <family val="2"/>
      </rPr>
      <t xml:space="preserve">未發生）</t>
    </r>
  </si>
  <si>
    <r>
      <rPr>
        <sz val="9.5"/>
        <color rgb="FF222222"/>
        <rFont val="Arial"/>
        <family val="0"/>
        <charset val="1"/>
      </rPr>
      <t xml:space="preserve">kubectl get pd -n prelude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kubectl get pods -A</t>
    </r>
  </si>
  <si>
    <t xml:space="preserve">S06-16</t>
  </si>
  <si>
    <r>
      <rPr>
        <sz val="10"/>
        <color rgb="FF222222"/>
        <rFont val="Arial"/>
        <family val="0"/>
        <charset val="1"/>
      </rPr>
      <t xml:space="preserve">Cutover </t>
    </r>
    <r>
      <rPr>
        <sz val="10"/>
        <color rgb="FF222222"/>
        <rFont val="Noto Sans CJK SC"/>
        <family val="2"/>
      </rPr>
      <t xml:space="preserve">前：取消，來源 </t>
    </r>
    <r>
      <rPr>
        <sz val="10"/>
        <color rgb="FF222222"/>
        <rFont val="Arial"/>
        <family val="0"/>
        <charset val="1"/>
      </rPr>
      <t xml:space="preserve">8.18 </t>
    </r>
    <r>
      <rPr>
        <sz val="10"/>
        <color rgb="FF222222"/>
        <rFont val="Noto Sans CJK SC"/>
        <family val="2"/>
      </rPr>
      <t xml:space="preserve">節點保持原狀</t>
    </r>
  </si>
  <si>
    <t xml:space="preserve">S06-17</t>
  </si>
  <si>
    <r>
      <rPr>
        <sz val="10"/>
        <color rgb="FF222222"/>
        <rFont val="Noto Sans CJK SC"/>
        <family val="2"/>
      </rPr>
      <t xml:space="preserve">升級流程會先自動對來源 </t>
    </r>
    <r>
      <rPr>
        <sz val="10"/>
        <color rgb="FF222222"/>
        <rFont val="Arial"/>
        <family val="0"/>
        <charset val="1"/>
      </rPr>
      <t xml:space="preserve">vRA </t>
    </r>
    <r>
      <rPr>
        <sz val="10"/>
        <color rgb="FF222222"/>
        <rFont val="Noto Sans CJK SC"/>
        <family val="2"/>
      </rPr>
      <t xml:space="preserve">建 </t>
    </r>
    <r>
      <rPr>
        <sz val="10"/>
        <color rgb="FF222222"/>
        <rFont val="Arial"/>
        <family val="0"/>
        <charset val="1"/>
      </rPr>
      <t xml:space="preserve">snapshot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automated_vcf_backup_*</t>
    </r>
    <r>
      <rPr>
        <sz val="10"/>
        <color rgb="FF222222"/>
        <rFont val="Noto Sans CJK SC"/>
        <family val="2"/>
      </rPr>
      <t xml:space="preserve">）再關機 → 這就是退版點，勿刪</t>
    </r>
  </si>
  <si>
    <t xml:space="preserve">vCenter &gt; vRA VM &gt; Snapshots</t>
  </si>
  <si>
    <r>
      <rPr>
        <sz val="10"/>
        <color rgb="FF222222"/>
        <rFont val="Arial"/>
        <family val="0"/>
        <charset val="1"/>
      </rPr>
      <t xml:space="preserve">snapshot </t>
    </r>
    <r>
      <rPr>
        <sz val="10"/>
        <color rgb="FF222222"/>
        <rFont val="Noto Sans CJK SC"/>
        <family val="2"/>
      </rPr>
      <t xml:space="preserve">存在</t>
    </r>
  </si>
  <si>
    <t xml:space="preserve">S06-18</t>
  </si>
  <si>
    <r>
      <rPr>
        <sz val="10"/>
        <color rgb="FF222222"/>
        <rFont val="Arial"/>
        <family val="0"/>
        <charset val="1"/>
      </rPr>
      <t xml:space="preserve">Cutover </t>
    </r>
    <r>
      <rPr>
        <sz val="10"/>
        <color rgb="FF222222"/>
        <rFont val="Noto Sans CJK SC"/>
        <family val="2"/>
      </rPr>
      <t xml:space="preserve">後：關閉新 </t>
    </r>
    <r>
      <rPr>
        <sz val="10"/>
        <color rgb="FF222222"/>
        <rFont val="Arial"/>
        <family val="0"/>
        <charset val="1"/>
      </rPr>
      <t xml:space="preserve">runtime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revert </t>
    </r>
    <r>
      <rPr>
        <sz val="10"/>
        <color rgb="FF222222"/>
        <rFont val="Noto Sans CJK SC"/>
        <family val="2"/>
      </rPr>
      <t xml:space="preserve">來源 </t>
    </r>
    <r>
      <rPr>
        <sz val="10"/>
        <color rgb="FF222222"/>
        <rFont val="Arial"/>
        <family val="0"/>
        <charset val="1"/>
      </rPr>
      <t xml:space="preserve">vRA </t>
    </r>
    <r>
      <rPr>
        <sz val="10"/>
        <color rgb="FF222222"/>
        <rFont val="Noto Sans CJK SC"/>
        <family val="2"/>
      </rPr>
      <t xml:space="preserve">的自動 </t>
    </r>
    <r>
      <rPr>
        <sz val="10"/>
        <color rgb="FF222222"/>
        <rFont val="Arial"/>
        <family val="0"/>
        <charset val="1"/>
      </rPr>
      <t xml:space="preserve">snapshot </t>
    </r>
    <r>
      <rPr>
        <sz val="10"/>
        <color rgb="FF222222"/>
        <rFont val="Noto Sans CJK SC"/>
        <family val="2"/>
      </rPr>
      <t xml:space="preserve">後開機；升級失敗的清理官方不支援 → 開 </t>
    </r>
    <r>
      <rPr>
        <sz val="10"/>
        <color rgb="FF222222"/>
        <rFont val="Arial"/>
        <family val="0"/>
        <charset val="1"/>
      </rPr>
      <t xml:space="preserve">SR</t>
    </r>
  </si>
  <si>
    <t xml:space="preserve">KB 441333</t>
  </si>
  <si>
    <t xml:space="preserve">S06-19</t>
  </si>
  <si>
    <r>
      <rPr>
        <b val="true"/>
        <sz val="10"/>
        <color rgb="FFA6192E"/>
        <rFont val="Noto Sans CJK SC"/>
        <family val="2"/>
      </rPr>
      <t xml:space="preserve">截止點：刪除 </t>
    </r>
    <r>
      <rPr>
        <b val="true"/>
        <sz val="10"/>
        <color rgb="FFA6192E"/>
        <rFont val="Arial"/>
        <family val="0"/>
        <charset val="1"/>
      </rPr>
      <t xml:space="preserve">8.18 </t>
    </r>
    <r>
      <rPr>
        <b val="true"/>
        <sz val="10"/>
        <color rgb="FFA6192E"/>
        <rFont val="Noto Sans CJK SC"/>
        <family val="2"/>
      </rPr>
      <t xml:space="preserve">來源 </t>
    </r>
    <r>
      <rPr>
        <b val="true"/>
        <sz val="10"/>
        <color rgb="FFA6192E"/>
        <rFont val="Arial"/>
        <family val="0"/>
        <charset val="1"/>
      </rPr>
      <t xml:space="preserve">VM </t>
    </r>
    <r>
      <rPr>
        <b val="true"/>
        <sz val="10"/>
        <color rgb="FFA6192E"/>
        <rFont val="Noto Sans CJK SC"/>
        <family val="2"/>
      </rPr>
      <t xml:space="preserve">與 </t>
    </r>
    <r>
      <rPr>
        <b val="true"/>
        <sz val="10"/>
        <color rgb="FFA6192E"/>
        <rFont val="Arial"/>
        <family val="0"/>
        <charset val="1"/>
      </rPr>
      <t xml:space="preserve">snapshot</t>
    </r>
    <r>
      <rPr>
        <b val="true"/>
        <sz val="10"/>
        <color rgb="FFA6192E"/>
        <rFont val="Noto Sans CJK SC"/>
        <family val="2"/>
      </rPr>
      <t xml:space="preserve">（觀察期後）</t>
    </r>
  </si>
  <si>
    <r>
      <rPr>
        <b val="true"/>
        <sz val="9"/>
        <color rgb="FFFFFFFF"/>
        <rFont val="Arial"/>
        <family val="0"/>
        <charset val="1"/>
      </rPr>
      <t xml:space="preserve">#10</t>
    </r>
    <r>
      <rPr>
        <b val="true"/>
        <sz val="9"/>
        <color rgb="FFFFFFFF"/>
        <rFont val="Noto Sans CJK SC"/>
        <family val="2"/>
      </rPr>
      <t xml:space="preserve">（</t>
    </r>
    <r>
      <rPr>
        <b val="true"/>
        <sz val="9"/>
        <color rgb="FFFFFFFF"/>
        <rFont val="Arial"/>
        <family val="0"/>
        <charset val="1"/>
      </rPr>
      <t xml:space="preserve">vCenter</t>
    </r>
    <r>
      <rPr>
        <b val="true"/>
        <sz val="9"/>
        <color rgb="FFFFFFFF"/>
        <rFont val="Noto Sans CJK SC"/>
        <family val="2"/>
      </rPr>
      <t xml:space="preserve">）</t>
    </r>
  </si>
  <si>
    <r>
      <rPr>
        <b val="true"/>
        <sz val="10.5"/>
        <color rgb="FFFFFFFF"/>
        <rFont val="Arial"/>
        <family val="0"/>
        <charset val="1"/>
      </rPr>
      <t xml:space="preserve">S07</t>
    </r>
    <r>
      <rPr>
        <b val="true"/>
        <sz val="10.5"/>
        <color rgb="FFFFFFFF"/>
        <rFont val="Noto Sans CJK SC"/>
        <family val="2"/>
      </rPr>
      <t xml:space="preserve">｜整合雲 </t>
    </r>
    <r>
      <rPr>
        <b val="true"/>
        <sz val="10.5"/>
        <color rgb="FFFFFFFF"/>
        <rFont val="Arial"/>
        <family val="0"/>
        <charset val="1"/>
      </rPr>
      <t xml:space="preserve">vCenter 8.0.3 to 9.1.1 (RDU)</t>
    </r>
    <r>
      <rPr>
        <b val="true"/>
        <sz val="10.5"/>
        <color rgb="FFFFFFFF"/>
        <rFont val="Noto Sans CJK SC"/>
        <family val="2"/>
      </rPr>
      <t xml:space="preserve">｜整合雲 </t>
    </r>
    <r>
      <rPr>
        <b val="true"/>
        <sz val="10.5"/>
        <color rgb="FFFFFFFF"/>
        <rFont val="Arial"/>
        <family val="0"/>
        <charset val="1"/>
      </rPr>
      <t xml:space="preserve">vCenter 8.0.3 → 9.1.1</t>
    </r>
    <r>
      <rPr>
        <b val="true"/>
        <sz val="10.5"/>
        <color rgb="FFFFFFFF"/>
        <rFont val="Noto Sans CJK SC"/>
        <family val="2"/>
      </rPr>
      <t xml:space="preserve">（</t>
    </r>
    <r>
      <rPr>
        <b val="true"/>
        <sz val="10.5"/>
        <color rgb="FFFFFFFF"/>
        <rFont val="Arial"/>
        <family val="0"/>
        <charset val="1"/>
      </rPr>
      <t xml:space="preserve">RDU</t>
    </r>
    <r>
      <rPr>
        <b val="true"/>
        <sz val="10.5"/>
        <color rgb="FFFFFFFF"/>
        <rFont val="Noto Sans CJK SC"/>
        <family val="2"/>
      </rPr>
      <t xml:space="preserve">，</t>
    </r>
    <r>
      <rPr>
        <b val="true"/>
        <sz val="10.5"/>
        <color rgb="FFFFFFFF"/>
        <rFont val="Arial"/>
        <family val="0"/>
        <charset val="1"/>
      </rPr>
      <t xml:space="preserve">import </t>
    </r>
    <r>
      <rPr>
        <b val="true"/>
        <sz val="10.5"/>
        <color rgb="FFFFFFFF"/>
        <rFont val="Noto Sans CJK SC"/>
        <family val="2"/>
      </rPr>
      <t xml:space="preserve">前）｜</t>
    </r>
    <r>
      <rPr>
        <b val="true"/>
        <sz val="10.5"/>
        <color rgb="FFFFFFFF"/>
        <rFont val="Arial"/>
        <family val="0"/>
        <charset val="1"/>
      </rPr>
      <t xml:space="preserve">Lab</t>
    </r>
    <r>
      <rPr>
        <b val="true"/>
        <sz val="10.5"/>
        <color rgb="FFFFFFFF"/>
        <rFont val="Noto Sans CJK SC"/>
        <family val="2"/>
      </rPr>
      <t xml:space="preserve">：</t>
    </r>
    <r>
      <rPr>
        <b val="true"/>
        <sz val="10.5"/>
        <color rgb="FFFFFFFF"/>
        <rFont val="Arial"/>
        <family val="0"/>
        <charset val="1"/>
      </rPr>
      <t xml:space="preserve">RDU </t>
    </r>
    <r>
      <rPr>
        <b val="true"/>
        <sz val="10.5"/>
        <color rgb="FFFFFFFF"/>
        <rFont val="Noto Sans CJK SC"/>
        <family val="2"/>
      </rPr>
      <t xml:space="preserve">約 </t>
    </r>
    <r>
      <rPr>
        <b val="true"/>
        <sz val="10.5"/>
        <color rgb="FFFFFFFF"/>
        <rFont val="Arial"/>
        <family val="0"/>
        <charset val="1"/>
      </rPr>
      <t xml:space="preserve">33 </t>
    </r>
    <r>
      <rPr>
        <b val="true"/>
        <sz val="10.5"/>
        <color rgb="FFFFFFFF"/>
        <rFont val="Noto Sans CJK SC"/>
        <family val="2"/>
      </rPr>
      <t xml:space="preserve">分（停機約 </t>
    </r>
    <r>
      <rPr>
        <b val="true"/>
        <sz val="10.5"/>
        <color rgb="FFFFFFFF"/>
        <rFont val="Arial"/>
        <family val="0"/>
        <charset val="1"/>
      </rPr>
      <t xml:space="preserve">5 </t>
    </r>
    <r>
      <rPr>
        <b val="true"/>
        <sz val="10.5"/>
        <color rgb="FFFFFFFF"/>
        <rFont val="Noto Sans CJK SC"/>
        <family val="2"/>
      </rPr>
      <t xml:space="preserve">分）；</t>
    </r>
    <r>
      <rPr>
        <b val="true"/>
        <sz val="10.5"/>
        <color rgb="FFFFFFFF"/>
        <rFont val="Arial"/>
        <family val="0"/>
        <charset val="1"/>
      </rPr>
      <t xml:space="preserve">CLI migration </t>
    </r>
    <r>
      <rPr>
        <b val="true"/>
        <sz val="10.5"/>
        <color rgb="FFFFFFFF"/>
        <rFont val="Noto Sans CJK SC"/>
        <family val="2"/>
      </rPr>
      <t xml:space="preserve">約 </t>
    </r>
    <r>
      <rPr>
        <b val="true"/>
        <sz val="10.5"/>
        <color rgb="FFFFFFFF"/>
        <rFont val="Arial"/>
        <family val="0"/>
        <charset val="1"/>
      </rPr>
      <t xml:space="preserve">50 </t>
    </r>
    <r>
      <rPr>
        <b val="true"/>
        <sz val="10.5"/>
        <color rgb="FFFFFFFF"/>
        <rFont val="Noto Sans CJK SC"/>
        <family val="2"/>
      </rPr>
      <t xml:space="preserve">分｜負責：</t>
    </r>
    <r>
      <rPr>
        <b val="true"/>
        <sz val="10.5"/>
        <color rgb="FFFFFFFF"/>
        <rFont val="Arial"/>
        <family val="0"/>
        <charset val="1"/>
      </rPr>
      <t xml:space="preserve">ENG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SYS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DR</t>
    </r>
  </si>
  <si>
    <r>
      <rPr>
        <sz val="10"/>
        <color rgb="FF222222"/>
        <rFont val="Arial"/>
        <family val="0"/>
        <charset val="1"/>
      </rPr>
      <t xml:space="preserve">#10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vCenter</t>
    </r>
    <r>
      <rPr>
        <sz val="10"/>
        <color rgb="FF222222"/>
        <rFont val="Noto Sans CJK SC"/>
        <family val="2"/>
      </rPr>
      <t xml:space="preserve">）</t>
    </r>
  </si>
  <si>
    <t xml:space="preserve">S07-01</t>
  </si>
  <si>
    <r>
      <rPr>
        <sz val="10"/>
        <color rgb="FF222222"/>
        <rFont val="Arial"/>
        <family val="0"/>
        <charset val="1"/>
      </rPr>
      <t xml:space="preserve">SRM </t>
    </r>
    <r>
      <rPr>
        <sz val="10"/>
        <color rgb="FF222222"/>
        <rFont val="Noto Sans CJK SC"/>
        <family val="2"/>
      </rPr>
      <t xml:space="preserve">已是 </t>
    </r>
    <r>
      <rPr>
        <sz val="10"/>
        <color rgb="FF222222"/>
        <rFont val="Arial"/>
        <family val="0"/>
        <charset val="1"/>
      </rPr>
      <t xml:space="preserve">9.1.1</t>
    </r>
    <r>
      <rPr>
        <sz val="10"/>
        <color rgb="FF222222"/>
        <rFont val="Noto Sans CJK SC"/>
        <family val="2"/>
      </rPr>
      <t xml:space="preserve">（官方建議先升 </t>
    </r>
    <r>
      <rPr>
        <sz val="10"/>
        <color rgb="FF222222"/>
        <rFont val="Arial"/>
        <family val="0"/>
        <charset val="1"/>
      </rPr>
      <t xml:space="preserve">SRM </t>
    </r>
    <r>
      <rPr>
        <sz val="10"/>
        <color rgb="FF222222"/>
        <rFont val="Noto Sans CJK SC"/>
        <family val="2"/>
      </rPr>
      <t xml:space="preserve">再升 </t>
    </r>
    <r>
      <rPr>
        <sz val="10"/>
        <color rgb="FF222222"/>
        <rFont val="Arial"/>
        <family val="0"/>
        <charset val="1"/>
      </rPr>
      <t xml:space="preserve">vCenter ✓</t>
    </r>
    <r>
      <rPr>
        <sz val="10"/>
        <color rgb="FF222222"/>
        <rFont val="Noto Sans CJK SC"/>
        <family val="2"/>
      </rPr>
      <t xml:space="preserve">）；兩站互為配對時先升 </t>
    </r>
    <r>
      <rPr>
        <sz val="10"/>
        <color rgb="FF222222"/>
        <rFont val="Arial"/>
        <family val="0"/>
        <charset val="1"/>
      </rPr>
      <t xml:space="preserve">protected site</t>
    </r>
  </si>
  <si>
    <t xml:space="preserve">順序確認</t>
  </si>
  <si>
    <t xml:space="preserve">TechDocs: Order of Upgrading vSphere and Protection and Recovery Components</t>
  </si>
  <si>
    <t xml:space="preserve">S07-02</t>
  </si>
  <si>
    <r>
      <rPr>
        <sz val="10"/>
        <color rgb="FF222222"/>
        <rFont val="Arial"/>
        <family val="0"/>
        <charset val="1"/>
      </rPr>
      <t xml:space="preserve">VAMI file-based backup </t>
    </r>
    <r>
      <rPr>
        <sz val="10"/>
        <color rgb="FF222222"/>
        <rFont val="Noto Sans CJK SC"/>
        <family val="2"/>
      </rPr>
      <t xml:space="preserve">成功並記錄位置；</t>
    </r>
    <r>
      <rPr>
        <sz val="10"/>
        <color rgb="FF222222"/>
        <rFont val="Arial"/>
        <family val="0"/>
        <charset val="1"/>
      </rPr>
      <t xml:space="preserve">SRM </t>
    </r>
    <r>
      <rPr>
        <sz val="10"/>
        <color rgb="FF222222"/>
        <rFont val="Noto Sans CJK SC"/>
        <family val="2"/>
      </rPr>
      <t xml:space="preserve">設定匯出</t>
    </r>
  </si>
  <si>
    <t xml:space="preserve">成功</t>
  </si>
  <si>
    <t xml:space="preserve">S07-03</t>
  </si>
  <si>
    <r>
      <rPr>
        <sz val="10"/>
        <color rgb="FF222222"/>
        <rFont val="Arial"/>
        <family val="0"/>
        <charset val="1"/>
      </rPr>
      <t xml:space="preserve">8.0.3 build </t>
    </r>
    <r>
      <rPr>
        <sz val="10"/>
        <color rgb="FF222222"/>
        <rFont val="Noto Sans CJK SC"/>
        <family val="2"/>
      </rPr>
      <t xml:space="preserve">確認可升 </t>
    </r>
    <r>
      <rPr>
        <sz val="10"/>
        <color rgb="FF222222"/>
        <rFont val="Arial"/>
        <family val="0"/>
        <charset val="1"/>
      </rPr>
      <t xml:space="preserve">9.1.1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8.0U3j </t>
    </r>
    <r>
      <rPr>
        <sz val="10"/>
        <color rgb="FF222222"/>
        <rFont val="Noto Sans CJK SC"/>
        <family val="2"/>
      </rPr>
      <t xml:space="preserve">可；</t>
    </r>
    <r>
      <rPr>
        <sz val="10"/>
        <color rgb="FF222222"/>
        <rFont val="Arial"/>
        <family val="0"/>
        <charset val="1"/>
      </rPr>
      <t xml:space="preserve">8.0U3k </t>
    </r>
    <r>
      <rPr>
        <sz val="10"/>
        <color rgb="FF222222"/>
        <rFont val="Noto Sans CJK SC"/>
        <family val="2"/>
      </rPr>
      <t xml:space="preserve">查 </t>
    </r>
    <r>
      <rPr>
        <sz val="10"/>
        <color rgb="FF222222"/>
        <rFont val="Arial"/>
        <family val="0"/>
        <charset val="1"/>
      </rPr>
      <t xml:space="preserve">Interop Matrix</t>
    </r>
    <r>
      <rPr>
        <sz val="10"/>
        <color rgb="FF222222"/>
        <rFont val="Noto Sans CJK SC"/>
        <family val="2"/>
      </rPr>
      <t xml:space="preserve">）；</t>
    </r>
    <r>
      <rPr>
        <sz val="10"/>
        <color rgb="FF222222"/>
        <rFont val="Arial"/>
        <family val="0"/>
        <charset val="1"/>
      </rPr>
      <t xml:space="preserve">9.1.1 ISO </t>
    </r>
    <r>
      <rPr>
        <sz val="10"/>
        <color rgb="FF222222"/>
        <rFont val="Noto Sans CJK SC"/>
        <family val="2"/>
      </rPr>
      <t xml:space="preserve">備妥</t>
    </r>
  </si>
  <si>
    <r>
      <rPr>
        <sz val="9.5"/>
        <color rgb="FF222222"/>
        <rFont val="Arial"/>
        <family val="0"/>
        <charset val="1"/>
      </rPr>
      <t xml:space="preserve">KB 450972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TechDocs: Upgrading to VCF 9.1.x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VCF 9.1.1 BOM</t>
    </r>
  </si>
  <si>
    <t xml:space="preserve">S07-04</t>
  </si>
  <si>
    <r>
      <rPr>
        <sz val="10"/>
        <color rgb="FF222222"/>
        <rFont val="Noto Sans CJK SC"/>
        <family val="2"/>
      </rPr>
      <t xml:space="preserve">確認此 </t>
    </r>
    <r>
      <rPr>
        <sz val="10"/>
        <color rgb="FF222222"/>
        <rFont val="Arial"/>
        <family val="0"/>
        <charset val="1"/>
      </rPr>
      <t xml:space="preserve">vCenter </t>
    </r>
    <r>
      <rPr>
        <sz val="10"/>
        <color rgb="FF222222"/>
        <rFont val="Noto Sans CJK SC"/>
        <family val="2"/>
      </rPr>
      <t xml:space="preserve">未註冊 </t>
    </r>
    <r>
      <rPr>
        <sz val="10"/>
        <color rgb="FF222222"/>
        <rFont val="Arial"/>
        <family val="0"/>
        <charset val="1"/>
      </rPr>
      <t xml:space="preserve">NSX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com.vmware.nsx.management.nsxt</t>
    </r>
    <r>
      <rPr>
        <sz val="10"/>
        <color rgb="FF222222"/>
        <rFont val="Noto Sans CJK SC"/>
        <family val="2"/>
      </rPr>
      <t xml:space="preserve">）：有 </t>
    </r>
    <r>
      <rPr>
        <sz val="10"/>
        <color rgb="FF222222"/>
        <rFont val="Arial"/>
        <family val="0"/>
        <charset val="1"/>
      </rPr>
      <t xml:space="preserve">NSX &lt; 9.1 </t>
    </r>
    <r>
      <rPr>
        <sz val="10"/>
        <color rgb="FF222222"/>
        <rFont val="Noto Sans CJK SC"/>
        <family val="2"/>
      </rPr>
      <t xml:space="preserve">註冊時 </t>
    </r>
    <r>
      <rPr>
        <sz val="10"/>
        <color rgb="FF222222"/>
        <rFont val="Arial"/>
        <family val="0"/>
        <charset val="1"/>
      </rPr>
      <t xml:space="preserve">RDU switchover </t>
    </r>
    <r>
      <rPr>
        <sz val="10"/>
        <color rgb="FF222222"/>
        <rFont val="Noto Sans CJK SC"/>
        <family val="2"/>
      </rPr>
      <t xml:space="preserve">會無聲卡住（</t>
    </r>
    <r>
      <rPr>
        <sz val="10"/>
        <color rgb="FF222222"/>
        <rFont val="Arial"/>
        <family val="0"/>
        <charset val="1"/>
      </rPr>
      <t xml:space="preserve">precheck </t>
    </r>
    <r>
      <rPr>
        <sz val="10"/>
        <color rgb="FF222222"/>
        <rFont val="Noto Sans CJK SC"/>
        <family val="2"/>
      </rPr>
      <t xml:space="preserve">只列 </t>
    </r>
    <r>
      <rPr>
        <sz val="10"/>
        <color rgb="FF222222"/>
        <rFont val="Arial"/>
        <family val="0"/>
        <charset val="1"/>
      </rPr>
      <t xml:space="preserve">Warning</t>
    </r>
    <r>
      <rPr>
        <sz val="10"/>
        <color rgb="FF222222"/>
        <rFont val="Noto Sans CJK SC"/>
        <family val="2"/>
      </rPr>
      <t xml:space="preserve">）</t>
    </r>
  </si>
  <si>
    <t xml:space="preserve">govc extension.info | grep -i nsx</t>
  </si>
  <si>
    <r>
      <rPr>
        <sz val="10"/>
        <color rgb="FF222222"/>
        <rFont val="Noto Sans CJK SC"/>
        <family val="2"/>
      </rPr>
      <t xml:space="preserve">無 </t>
    </r>
    <r>
      <rPr>
        <sz val="10"/>
        <color rgb="FF222222"/>
        <rFont val="Arial"/>
        <family val="0"/>
        <charset val="1"/>
      </rPr>
      <t xml:space="preserve">NSX extension</t>
    </r>
  </si>
  <si>
    <t xml:space="preserve">S07-05</t>
  </si>
  <si>
    <r>
      <rPr>
        <sz val="10"/>
        <color rgb="FF222222"/>
        <rFont val="Noto Sans CJK SC"/>
        <family val="2"/>
      </rPr>
      <t xml:space="preserve">注意：</t>
    </r>
    <r>
      <rPr>
        <sz val="10"/>
        <color rgb="FF222222"/>
        <rFont val="Arial"/>
        <family val="0"/>
        <charset val="1"/>
      </rPr>
      <t xml:space="preserve">RDU </t>
    </r>
    <r>
      <rPr>
        <sz val="10"/>
        <color rgb="FF222222"/>
        <rFont val="Noto Sans CJK SC"/>
        <family val="2"/>
      </rPr>
      <t xml:space="preserve">的 </t>
    </r>
    <r>
      <rPr>
        <sz val="10"/>
        <color rgb="FF222222"/>
        <rFont val="Arial"/>
        <family val="0"/>
        <charset val="1"/>
      </rPr>
      <t xml:space="preserve">--precheck-only </t>
    </r>
    <r>
      <rPr>
        <sz val="10"/>
        <color rgb="FF222222"/>
        <rFont val="Noto Sans CJK SC"/>
        <family val="2"/>
      </rPr>
      <t xml:space="preserve">會先就地升級來源 </t>
    </r>
    <r>
      <rPr>
        <sz val="10"/>
        <color rgb="FF222222"/>
        <rFont val="Arial"/>
        <family val="0"/>
        <charset val="1"/>
      </rPr>
      <t xml:space="preserve">vCenter </t>
    </r>
    <r>
      <rPr>
        <sz val="10"/>
        <color rgb="FF222222"/>
        <rFont val="Noto Sans CJK SC"/>
        <family val="2"/>
      </rPr>
      <t xml:space="preserve">的 </t>
    </r>
    <r>
      <rPr>
        <sz val="10"/>
        <color rgb="FF222222"/>
        <rFont val="Arial"/>
        <family val="0"/>
        <charset val="1"/>
      </rPr>
      <t xml:space="preserve">vLCM </t>
    </r>
    <r>
      <rPr>
        <sz val="10"/>
        <color rgb="FF222222"/>
        <rFont val="Noto Sans CJK SC"/>
        <family val="2"/>
      </rPr>
      <t xml:space="preserve">服務（非唯讀），排在窗口內執行</t>
    </r>
  </si>
  <si>
    <t xml:space="preserve">S07-06</t>
  </si>
  <si>
    <r>
      <rPr>
        <sz val="10"/>
        <color rgb="FF222222"/>
        <rFont val="Arial"/>
        <family val="0"/>
        <charset val="1"/>
      </rPr>
      <t xml:space="preserve">RDU </t>
    </r>
    <r>
      <rPr>
        <sz val="10"/>
        <color rgb="FF222222"/>
        <rFont val="Noto Sans CJK SC"/>
        <family val="2"/>
      </rPr>
      <t xml:space="preserve">暫時 </t>
    </r>
    <r>
      <rPr>
        <sz val="10"/>
        <color rgb="FF222222"/>
        <rFont val="Arial"/>
        <family val="0"/>
        <charset val="1"/>
      </rPr>
      <t xml:space="preserve">IP</t>
    </r>
    <r>
      <rPr>
        <sz val="10"/>
        <color rgb="FF222222"/>
        <rFont val="Noto Sans CJK SC"/>
        <family val="2"/>
      </rPr>
      <t xml:space="preserve">（不可有既存 </t>
    </r>
    <r>
      <rPr>
        <sz val="10"/>
        <color rgb="FF222222"/>
        <rFont val="Arial"/>
        <family val="0"/>
        <charset val="1"/>
      </rPr>
      <t xml:space="preserve">PTR</t>
    </r>
    <r>
      <rPr>
        <sz val="10"/>
        <color rgb="FF222222"/>
        <rFont val="Noto Sans CJK SC"/>
        <family val="2"/>
      </rPr>
      <t xml:space="preserve">）、新 </t>
    </r>
    <r>
      <rPr>
        <sz val="10"/>
        <color rgb="FF222222"/>
        <rFont val="Arial"/>
        <family val="0"/>
        <charset val="1"/>
      </rPr>
      <t xml:space="preserve">appliance </t>
    </r>
    <r>
      <rPr>
        <sz val="10"/>
        <color rgb="FF222222"/>
        <rFont val="Noto Sans CJK SC"/>
        <family val="2"/>
      </rPr>
      <t xml:space="preserve">可達 </t>
    </r>
    <r>
      <rPr>
        <sz val="10"/>
        <color rgb="FF222222"/>
        <rFont val="Arial"/>
        <family val="0"/>
        <charset val="1"/>
      </rPr>
      <t xml:space="preserve">NTP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/var/cache/svcaccounts/vsphere-ui/.vsphere-ui </t>
    </r>
    <r>
      <rPr>
        <sz val="10"/>
        <color rgb="FF222222"/>
        <rFont val="Noto Sans CJK SC"/>
        <family val="2"/>
      </rPr>
      <t xml:space="preserve">存在</t>
    </r>
  </si>
  <si>
    <t xml:space="preserve">ls /var/cache/svcaccounts/vsphere-ui/.vsphere-ui</t>
  </si>
  <si>
    <t xml:space="preserve">存在</t>
  </si>
  <si>
    <r>
      <rPr>
        <sz val="9.5"/>
        <color rgb="FF222222"/>
        <rFont val="Arial"/>
        <family val="0"/>
        <charset val="1"/>
      </rPr>
      <t xml:space="preserve">KB 396777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CXS Lab </t>
    </r>
    <r>
      <rPr>
        <sz val="9.5"/>
        <color rgb="FF222222"/>
        <rFont val="Noto Sans CJK SC"/>
        <family val="2"/>
      </rPr>
      <t xml:space="preserve">實測</t>
    </r>
  </si>
  <si>
    <t xml:space="preserve">S07-07</t>
  </si>
  <si>
    <r>
      <rPr>
        <sz val="10"/>
        <color rgb="FF222222"/>
        <rFont val="Noto Sans CJK SC"/>
        <family val="2"/>
      </rPr>
      <t xml:space="preserve">第三方 </t>
    </r>
    <r>
      <rPr>
        <sz val="10"/>
        <color rgb="FF222222"/>
        <rFont val="Arial"/>
        <family val="0"/>
        <charset val="1"/>
      </rPr>
      <t xml:space="preserve">plugin / </t>
    </r>
    <r>
      <rPr>
        <sz val="10"/>
        <color rgb="FF222222"/>
        <rFont val="Noto Sans CJK SC"/>
        <family val="2"/>
      </rPr>
      <t xml:space="preserve">備份 </t>
    </r>
    <r>
      <rPr>
        <sz val="10"/>
        <color rgb="FF222222"/>
        <rFont val="Arial"/>
        <family val="0"/>
        <charset val="1"/>
      </rPr>
      <t xml:space="preserve">agent </t>
    </r>
    <r>
      <rPr>
        <sz val="10"/>
        <color rgb="FF222222"/>
        <rFont val="Noto Sans CJK SC"/>
        <family val="2"/>
      </rPr>
      <t xml:space="preserve">相容 </t>
    </r>
    <r>
      <rPr>
        <sz val="10"/>
        <color rgb="FF222222"/>
        <rFont val="Arial"/>
        <family val="0"/>
        <charset val="1"/>
      </rPr>
      <t xml:space="preserve">vCenter 9.1.1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vSAN health </t>
    </r>
    <r>
      <rPr>
        <sz val="10"/>
        <color rgb="FF222222"/>
        <rFont val="Noto Sans CJK SC"/>
        <family val="2"/>
      </rPr>
      <t xml:space="preserve">綠</t>
    </r>
  </si>
  <si>
    <t xml:space="preserve">S07-08</t>
  </si>
  <si>
    <r>
      <rPr>
        <sz val="10"/>
        <color rgb="FF222222"/>
        <rFont val="Arial"/>
        <family val="0"/>
        <charset val="1"/>
      </rPr>
      <t xml:space="preserve">vSphere Client &gt; vCenter &gt; Updates &gt; vCenter Server &gt; Upgrade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Reduced Downtime Upgrade</t>
    </r>
    <r>
      <rPr>
        <sz val="10"/>
        <color rgb="FF222222"/>
        <rFont val="Noto Sans CJK SC"/>
        <family val="2"/>
      </rPr>
      <t xml:space="preserve">）：掛 </t>
    </r>
    <r>
      <rPr>
        <sz val="10"/>
        <color rgb="FF222222"/>
        <rFont val="Arial"/>
        <family val="0"/>
        <charset val="1"/>
      </rPr>
      <t xml:space="preserve">9.1.1 ISO → </t>
    </r>
    <r>
      <rPr>
        <sz val="10"/>
        <color rgb="FF222222"/>
        <rFont val="Noto Sans CJK SC"/>
        <family val="2"/>
      </rPr>
      <t xml:space="preserve">部署目標 </t>
    </r>
    <r>
      <rPr>
        <sz val="10"/>
        <color rgb="FF222222"/>
        <rFont val="Arial"/>
        <family val="0"/>
        <charset val="1"/>
      </rPr>
      <t xml:space="preserve">appliance → </t>
    </r>
    <r>
      <rPr>
        <sz val="10"/>
        <color rgb="FF222222"/>
        <rFont val="Noto Sans CJK SC"/>
        <family val="2"/>
      </rPr>
      <t xml:space="preserve">資料複寫 → </t>
    </r>
    <r>
      <rPr>
        <sz val="10"/>
        <color rgb="FF222222"/>
        <rFont val="Arial"/>
        <family val="0"/>
        <charset val="1"/>
      </rPr>
      <t xml:space="preserve">Switchover</t>
    </r>
    <r>
      <rPr>
        <sz val="10"/>
        <color rgb="FF222222"/>
        <rFont val="Noto Sans CJK SC"/>
        <family val="2"/>
      </rPr>
      <t xml:space="preserve">（排在窗口內）</t>
    </r>
  </si>
  <si>
    <t xml:space="preserve">vSphere Client</t>
  </si>
  <si>
    <t xml:space="preserve">100% completed</t>
  </si>
  <si>
    <t xml:space="preserve">S07-09</t>
  </si>
  <si>
    <r>
      <rPr>
        <sz val="10"/>
        <color rgb="FF222222"/>
        <rFont val="Noto Sans CJK SC"/>
        <family val="2"/>
      </rPr>
      <t xml:space="preserve">不採兩階段 </t>
    </r>
    <r>
      <rPr>
        <sz val="10"/>
        <color rgb="FF222222"/>
        <rFont val="Arial"/>
        <family val="0"/>
        <charset val="1"/>
      </rPr>
      <t xml:space="preserve">GUI </t>
    </r>
    <r>
      <rPr>
        <sz val="10"/>
        <color rgb="FF222222"/>
        <rFont val="Noto Sans CJK SC"/>
        <family val="2"/>
      </rPr>
      <t xml:space="preserve">升級中途關機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CJK SC"/>
        <family val="2"/>
      </rPr>
      <t xml:space="preserve">重開（</t>
    </r>
    <r>
      <rPr>
        <sz val="10"/>
        <color rgb="FF222222"/>
        <rFont val="Arial"/>
        <family val="0"/>
        <charset val="1"/>
      </rPr>
      <t xml:space="preserve">CXS Lab RCA</t>
    </r>
    <r>
      <rPr>
        <sz val="10"/>
        <color rgb="FF222222"/>
        <rFont val="Noto Sans CJK SC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Stage 2 firstboot </t>
    </r>
    <r>
      <rPr>
        <sz val="10"/>
        <color rgb="FF222222"/>
        <rFont val="Noto Sans CJK SC"/>
        <family val="2"/>
      </rPr>
      <t xml:space="preserve">失敗）</t>
    </r>
  </si>
  <si>
    <t xml:space="preserve">S07-10</t>
  </si>
  <si>
    <r>
      <rPr>
        <sz val="10"/>
        <color rgb="FF222222"/>
        <rFont val="Noto Sans CJK SC"/>
        <family val="2"/>
      </rPr>
      <t xml:space="preserve">版本 </t>
    </r>
    <r>
      <rPr>
        <sz val="10"/>
        <color rgb="FF222222"/>
        <rFont val="Arial"/>
        <family val="0"/>
        <charset val="1"/>
      </rPr>
      <t xml:space="preserve">9.1.1</t>
    </r>
    <r>
      <rPr>
        <sz val="10"/>
        <color rgb="FF222222"/>
        <rFont val="Noto Sans CJK SC"/>
        <family val="2"/>
      </rPr>
      <t xml:space="preserve">、服務全部 </t>
    </r>
    <r>
      <rPr>
        <sz val="10"/>
        <color rgb="FF222222"/>
        <rFont val="Arial"/>
        <family val="0"/>
        <charset val="1"/>
      </rPr>
      <t xml:space="preserve">Started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SSO </t>
    </r>
    <r>
      <rPr>
        <sz val="10"/>
        <color rgb="FF222222"/>
        <rFont val="Noto Sans CJK SC"/>
        <family val="2"/>
      </rPr>
      <t xml:space="preserve">登入；主機 </t>
    </r>
    <r>
      <rPr>
        <sz val="10"/>
        <color rgb="FF222222"/>
        <rFont val="Arial"/>
        <family val="0"/>
        <charset val="1"/>
      </rPr>
      <t xml:space="preserve">Connected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vSAN health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VDS </t>
    </r>
    <r>
      <rPr>
        <sz val="10"/>
        <color rgb="FF222222"/>
        <rFont val="Noto Sans CJK SC"/>
        <family val="2"/>
      </rPr>
      <t xml:space="preserve">正常；</t>
    </r>
    <r>
      <rPr>
        <sz val="10"/>
        <color rgb="FF222222"/>
        <rFont val="Arial"/>
        <family val="0"/>
        <charset val="1"/>
      </rPr>
      <t xml:space="preserve">ESXi </t>
    </r>
    <r>
      <rPr>
        <sz val="10"/>
        <color rgb="FF222222"/>
        <rFont val="Noto Sans CJK SC"/>
        <family val="2"/>
      </rPr>
      <t xml:space="preserve">仍為 </t>
    </r>
    <r>
      <rPr>
        <sz val="10"/>
        <color rgb="FF222222"/>
        <rFont val="Arial"/>
        <family val="0"/>
        <charset val="1"/>
      </rPr>
      <t xml:space="preserve">8.0.3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VM </t>
    </r>
    <r>
      <rPr>
        <sz val="10"/>
        <color rgb="FF222222"/>
        <rFont val="Noto Sans CJK SC"/>
        <family val="2"/>
      </rPr>
      <t xml:space="preserve">不受影響</t>
    </r>
  </si>
  <si>
    <r>
      <rPr>
        <sz val="9.5"/>
        <color rgb="FF222222"/>
        <rFont val="Arial"/>
        <family val="0"/>
        <charset val="1"/>
      </rPr>
      <t xml:space="preserve">VAMI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vSphere Client</t>
    </r>
  </si>
  <si>
    <t xml:space="preserve">S07-11</t>
  </si>
  <si>
    <r>
      <rPr>
        <sz val="10"/>
        <color rgb="FF222222"/>
        <rFont val="Arial"/>
        <family val="0"/>
        <charset val="1"/>
      </rPr>
      <t xml:space="preserve">Switchover </t>
    </r>
    <r>
      <rPr>
        <sz val="10"/>
        <color rgb="FF222222"/>
        <rFont val="Noto Sans CJK SC"/>
        <family val="2"/>
      </rPr>
      <t xml:space="preserve">前失敗：</t>
    </r>
    <r>
      <rPr>
        <sz val="10"/>
        <color rgb="FF222222"/>
        <rFont val="Arial"/>
        <family val="0"/>
        <charset val="1"/>
      </rPr>
      <t xml:space="preserve">RDU </t>
    </r>
    <r>
      <rPr>
        <sz val="10"/>
        <color rgb="FF222222"/>
        <rFont val="Noto Sans CJK SC"/>
        <family val="2"/>
      </rPr>
      <t xml:space="preserve">自動回復</t>
    </r>
  </si>
  <si>
    <t xml:space="preserve">TechDocs: Optimized / Sequential Update of vCenter and NSX</t>
  </si>
  <si>
    <t xml:space="preserve">S07-12</t>
  </si>
  <si>
    <r>
      <rPr>
        <sz val="10"/>
        <color rgb="FF222222"/>
        <rFont val="Arial"/>
        <family val="0"/>
        <charset val="1"/>
      </rPr>
      <t xml:space="preserve">Switchover </t>
    </r>
    <r>
      <rPr>
        <sz val="10"/>
        <color rgb="FF222222"/>
        <rFont val="Noto Sans CJK SC"/>
        <family val="2"/>
      </rPr>
      <t xml:space="preserve">後：來源 </t>
    </r>
    <r>
      <rPr>
        <sz val="10"/>
        <color rgb="FF222222"/>
        <rFont val="Arial"/>
        <family val="0"/>
        <charset val="1"/>
      </rPr>
      <t xml:space="preserve">VM </t>
    </r>
    <r>
      <rPr>
        <sz val="10"/>
        <color rgb="FF222222"/>
        <rFont val="Noto Sans CJK SC"/>
        <family val="2"/>
      </rPr>
      <t xml:space="preserve">已退役（暫時 </t>
    </r>
    <r>
      <rPr>
        <sz val="10"/>
        <color rgb="FF222222"/>
        <rFont val="Arial"/>
        <family val="0"/>
        <charset val="1"/>
      </rPr>
      <t xml:space="preserve">IP</t>
    </r>
    <r>
      <rPr>
        <sz val="10"/>
        <color rgb="FF222222"/>
        <rFont val="Noto Sans CJK SC"/>
        <family val="2"/>
      </rPr>
      <t xml:space="preserve">、服務停用），正式退版 </t>
    </r>
    <r>
      <rPr>
        <sz val="10"/>
        <color rgb="FF222222"/>
        <rFont val="Arial"/>
        <family val="0"/>
        <charset val="1"/>
      </rPr>
      <t xml:space="preserve">= file-based restore</t>
    </r>
    <r>
      <rPr>
        <sz val="10"/>
        <color rgb="FF222222"/>
        <rFont val="Noto Sans CJK SC"/>
        <family val="2"/>
      </rPr>
      <t xml:space="preserve">（須事先演練）</t>
    </r>
  </si>
  <si>
    <t xml:space="preserve">#11</t>
  </si>
  <si>
    <r>
      <rPr>
        <b val="true"/>
        <sz val="10.5"/>
        <color rgb="FFFFFFFF"/>
        <rFont val="Arial"/>
        <family val="0"/>
        <charset val="1"/>
      </rPr>
      <t xml:space="preserve">S08</t>
    </r>
    <r>
      <rPr>
        <b val="true"/>
        <sz val="10.5"/>
        <color rgb="FFFFFFFF"/>
        <rFont val="Noto Sans CJK SC"/>
        <family val="2"/>
      </rPr>
      <t xml:space="preserve">｜</t>
    </r>
    <r>
      <rPr>
        <b val="true"/>
        <sz val="10.5"/>
        <color rgb="FFFFFFFF"/>
        <rFont val="Arial"/>
        <family val="0"/>
        <charset val="1"/>
      </rPr>
      <t xml:space="preserve">SRM Reconfigure &amp; Site Pair Reconnect (</t>
    </r>
    <r>
      <rPr>
        <b val="true"/>
        <sz val="10.5"/>
        <color rgb="FFFFFFFF"/>
        <rFont val="Noto Sans CJK SC"/>
        <family val="2"/>
      </rPr>
      <t xml:space="preserve">整合雲</t>
    </r>
    <r>
      <rPr>
        <b val="true"/>
        <sz val="10.5"/>
        <color rgb="FFFFFFFF"/>
        <rFont val="Arial"/>
        <family val="0"/>
        <charset val="1"/>
      </rPr>
      <t xml:space="preserve">)</t>
    </r>
    <r>
      <rPr>
        <b val="true"/>
        <sz val="10.5"/>
        <color rgb="FFFFFFFF"/>
        <rFont val="Noto Sans CJK SC"/>
        <family val="2"/>
      </rPr>
      <t xml:space="preserve">｜整合雲 </t>
    </r>
    <r>
      <rPr>
        <b val="true"/>
        <sz val="10.5"/>
        <color rgb="FFFFFFFF"/>
        <rFont val="Arial"/>
        <family val="0"/>
        <charset val="1"/>
      </rPr>
      <t xml:space="preserve">vCenter </t>
    </r>
    <r>
      <rPr>
        <b val="true"/>
        <sz val="10.5"/>
        <color rgb="FFFFFFFF"/>
        <rFont val="Noto Sans CJK SC"/>
        <family val="2"/>
      </rPr>
      <t xml:space="preserve">升級後 </t>
    </r>
    <r>
      <rPr>
        <b val="true"/>
        <sz val="10.5"/>
        <color rgb="FFFFFFFF"/>
        <rFont val="Arial"/>
        <family val="0"/>
        <charset val="1"/>
      </rPr>
      <t xml:space="preserve">SRM </t>
    </r>
    <r>
      <rPr>
        <b val="true"/>
        <sz val="10.5"/>
        <color rgb="FFFFFFFF"/>
        <rFont val="Noto Sans CJK SC"/>
        <family val="2"/>
      </rPr>
      <t xml:space="preserve">重新註冊｜負責：</t>
    </r>
    <r>
      <rPr>
        <b val="true"/>
        <sz val="10.5"/>
        <color rgb="FFFFFFFF"/>
        <rFont val="Arial"/>
        <family val="0"/>
        <charset val="1"/>
      </rPr>
      <t xml:space="preserve">DR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ENG</t>
    </r>
  </si>
  <si>
    <t xml:space="preserve">S08-01</t>
  </si>
  <si>
    <r>
      <rPr>
        <sz val="10"/>
        <color rgb="FF222222"/>
        <rFont val="Noto Sans CJK SC"/>
        <family val="2"/>
      </rPr>
      <t xml:space="preserve">該站 </t>
    </r>
    <r>
      <rPr>
        <sz val="10"/>
        <color rgb="FF222222"/>
        <rFont val="Arial"/>
        <family val="0"/>
        <charset val="1"/>
      </rPr>
      <t xml:space="preserve">vCenter </t>
    </r>
    <r>
      <rPr>
        <sz val="10"/>
        <color rgb="FF222222"/>
        <rFont val="Noto Sans CJK SC"/>
        <family val="2"/>
      </rPr>
      <t xml:space="preserve">升級完成；兩站 </t>
    </r>
    <r>
      <rPr>
        <sz val="10"/>
        <color rgb="FF222222"/>
        <rFont val="Arial"/>
        <family val="0"/>
        <charset val="1"/>
      </rPr>
      <t xml:space="preserve">SRM VAMI </t>
    </r>
    <r>
      <rPr>
        <sz val="10"/>
        <color rgb="FF222222"/>
        <rFont val="Noto Sans CJK SC"/>
        <family val="2"/>
      </rPr>
      <t xml:space="preserve">與 </t>
    </r>
    <r>
      <rPr>
        <sz val="10"/>
        <color rgb="FF222222"/>
        <rFont val="Arial"/>
        <family val="0"/>
        <charset val="1"/>
      </rPr>
      <t xml:space="preserve">SSO </t>
    </r>
    <r>
      <rPr>
        <sz val="10"/>
        <color rgb="FF222222"/>
        <rFont val="Noto Sans CJK SC"/>
        <family val="2"/>
      </rPr>
      <t xml:space="preserve">管理帳號備妥（保管工具）</t>
    </r>
  </si>
  <si>
    <t xml:space="preserve">S08-02</t>
  </si>
  <si>
    <r>
      <rPr>
        <sz val="10"/>
        <color rgb="FF222222"/>
        <rFont val="Arial"/>
        <family val="0"/>
        <charset val="1"/>
      </rPr>
      <t xml:space="preserve">SRM-remote-* solution account </t>
    </r>
    <r>
      <rPr>
        <sz val="10"/>
        <color rgb="FF222222"/>
        <rFont val="Noto Sans CJK SC"/>
        <family val="2"/>
      </rPr>
      <t xml:space="preserve">密碼未過期</t>
    </r>
  </si>
  <si>
    <t xml:space="preserve">dir-cli</t>
  </si>
  <si>
    <t xml:space="preserve">未過期</t>
  </si>
  <si>
    <r>
      <rPr>
        <sz val="9.5"/>
        <color rgb="FF222222"/>
        <rFont val="Arial"/>
        <family val="0"/>
        <charset val="1"/>
      </rPr>
      <t xml:space="preserve">KB 448322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KB 367383</t>
    </r>
  </si>
  <si>
    <t xml:space="preserve">S08-03</t>
  </si>
  <si>
    <r>
      <rPr>
        <sz val="10"/>
        <color rgb="FF222222"/>
        <rFont val="Noto Sans CJK SC"/>
        <family val="2"/>
      </rPr>
      <t xml:space="preserve">兩站 </t>
    </r>
    <r>
      <rPr>
        <sz val="10"/>
        <color rgb="FF222222"/>
        <rFont val="Arial"/>
        <family val="0"/>
        <charset val="1"/>
      </rPr>
      <t xml:space="preserve">SRM VAMI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:5480</t>
    </r>
    <r>
      <rPr>
        <sz val="10"/>
        <color rgb="FF222222"/>
        <rFont val="Noto Sans CJK SC"/>
        <family val="2"/>
      </rPr>
      <t xml:space="preserve">）</t>
    </r>
    <r>
      <rPr>
        <sz val="10"/>
        <color rgb="FF222222"/>
        <rFont val="Arial"/>
        <family val="0"/>
        <charset val="1"/>
      </rPr>
      <t xml:space="preserve">&gt; Reconfigure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protected </t>
    </r>
    <r>
      <rPr>
        <sz val="10"/>
        <color rgb="FF222222"/>
        <rFont val="Noto Sans CJK SC"/>
        <family val="2"/>
      </rPr>
      <t xml:space="preserve">與 </t>
    </r>
    <r>
      <rPr>
        <sz val="10"/>
        <color rgb="FF222222"/>
        <rFont val="Arial"/>
        <family val="0"/>
        <charset val="1"/>
      </rPr>
      <t xml:space="preserve">recovery </t>
    </r>
    <r>
      <rPr>
        <sz val="10"/>
        <color rgb="FF222222"/>
        <rFont val="Noto Sans CJK SC"/>
        <family val="2"/>
      </rPr>
      <t xml:space="preserve">兩站都要做）</t>
    </r>
  </si>
  <si>
    <t xml:space="preserve">https://&lt;srm&gt;:5480 &gt; Summary &gt; Reconfigure</t>
  </si>
  <si>
    <t xml:space="preserve">KB 446701</t>
  </si>
  <si>
    <t xml:space="preserve">S08-04</t>
  </si>
  <si>
    <t xml:space="preserve">SRM UI &gt; Site Pair &gt; Summary &gt; Reconnect</t>
  </si>
  <si>
    <t xml:space="preserve">SRM UI</t>
  </si>
  <si>
    <t xml:space="preserve">TechDocs: Reconfigure the Connection Between Sites</t>
  </si>
  <si>
    <t xml:space="preserve">S08-05</t>
  </si>
  <si>
    <r>
      <rPr>
        <sz val="10"/>
        <color rgb="FF222222"/>
        <rFont val="Noto Sans CJK SC"/>
        <family val="2"/>
      </rPr>
      <t xml:space="preserve">若 </t>
    </r>
    <r>
      <rPr>
        <sz val="10"/>
        <color rgb="FF222222"/>
        <rFont val="Arial"/>
        <family val="0"/>
        <charset val="1"/>
      </rPr>
      <t xml:space="preserve">vSphere Replication </t>
    </r>
    <r>
      <rPr>
        <sz val="10"/>
        <color rgb="FF222222"/>
        <rFont val="Noto Sans CJK SC"/>
        <family val="2"/>
      </rPr>
      <t xml:space="preserve">為獨立 </t>
    </r>
    <r>
      <rPr>
        <sz val="10"/>
        <color rgb="FF222222"/>
        <rFont val="Arial"/>
        <family val="0"/>
        <charset val="1"/>
      </rPr>
      <t xml:space="preserve">appliance</t>
    </r>
    <r>
      <rPr>
        <sz val="10"/>
        <color rgb="FF222222"/>
        <rFont val="Noto Sans CJK SC"/>
        <family val="2"/>
      </rPr>
      <t xml:space="preserve">，一併確認註冊與連線（推定，</t>
    </r>
    <r>
      <rPr>
        <sz val="10"/>
        <color rgb="FF222222"/>
        <rFont val="Arial"/>
        <family val="0"/>
        <charset val="1"/>
      </rPr>
      <t xml:space="preserve">Lab </t>
    </r>
    <r>
      <rPr>
        <sz val="10"/>
        <color rgb="FF222222"/>
        <rFont val="Noto Sans CJK SC"/>
        <family val="2"/>
      </rPr>
      <t xml:space="preserve">驗證）</t>
    </r>
  </si>
  <si>
    <t xml:space="preserve">VR VAMI</t>
  </si>
  <si>
    <t xml:space="preserve">推定</t>
  </si>
  <si>
    <t xml:space="preserve">S08-06</t>
  </si>
  <si>
    <r>
      <rPr>
        <sz val="10"/>
        <color rgb="FF222222"/>
        <rFont val="Arial"/>
        <family val="0"/>
        <charset val="1"/>
      </rPr>
      <t xml:space="preserve">Site Pair Connected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Protection Groups OK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Replication </t>
    </r>
    <r>
      <rPr>
        <sz val="10"/>
        <color rgb="FF222222"/>
        <rFont val="Noto Sans CJK SC"/>
        <family val="2"/>
      </rPr>
      <t xml:space="preserve">狀態與 </t>
    </r>
    <r>
      <rPr>
        <sz val="10"/>
        <color rgb="FF222222"/>
        <rFont val="Arial"/>
        <family val="0"/>
        <charset val="1"/>
      </rPr>
      <t xml:space="preserve">RPO </t>
    </r>
    <r>
      <rPr>
        <sz val="10"/>
        <color rgb="FF222222"/>
        <rFont val="Noto Sans CJK SC"/>
        <family val="2"/>
      </rPr>
      <t xml:space="preserve">正常</t>
    </r>
  </si>
  <si>
    <t xml:space="preserve">S08-07</t>
  </si>
  <si>
    <r>
      <rPr>
        <sz val="10"/>
        <color rgb="FF222222"/>
        <rFont val="Arial"/>
        <family val="0"/>
        <charset val="1"/>
      </rPr>
      <t xml:space="preserve">Recovery Plan </t>
    </r>
    <r>
      <rPr>
        <sz val="10"/>
        <color rgb="FF222222"/>
        <rFont val="Noto Sans CJK SC"/>
        <family val="2"/>
      </rPr>
      <t xml:space="preserve">執行 </t>
    </r>
    <r>
      <rPr>
        <sz val="10"/>
        <color rgb="FF222222"/>
        <rFont val="Arial"/>
        <family val="0"/>
        <charset val="1"/>
      </rPr>
      <t xml:space="preserve">Test</t>
    </r>
    <r>
      <rPr>
        <sz val="10"/>
        <color rgb="FF222222"/>
        <rFont val="Noto Sans CJK SC"/>
        <family val="2"/>
      </rPr>
      <t xml:space="preserve">（不中斷）→ </t>
    </r>
    <r>
      <rPr>
        <sz val="10"/>
        <color rgb="FF222222"/>
        <rFont val="Arial"/>
        <family val="0"/>
        <charset val="1"/>
      </rPr>
      <t xml:space="preserve">Cleanup </t>
    </r>
    <r>
      <rPr>
        <sz val="10"/>
        <color rgb="FF222222"/>
        <rFont val="Noto Sans CJK SC"/>
        <family val="2"/>
      </rPr>
      <t xml:space="preserve">成功</t>
    </r>
  </si>
  <si>
    <t xml:space="preserve">SRM UI &gt; Recovery Plans &gt; Test</t>
  </si>
  <si>
    <t xml:space="preserve">Success</t>
  </si>
  <si>
    <t xml:space="preserve">S08-08</t>
  </si>
  <si>
    <r>
      <rPr>
        <sz val="10"/>
        <color rgb="FF222222"/>
        <rFont val="Arial"/>
        <family val="0"/>
        <charset val="1"/>
      </rPr>
      <t xml:space="preserve">Reconfigure </t>
    </r>
    <r>
      <rPr>
        <sz val="10"/>
        <color rgb="FF222222"/>
        <rFont val="Noto Sans CJK SC"/>
        <family val="2"/>
      </rPr>
      <t xml:space="preserve">不破壞設定；失敗依 </t>
    </r>
    <r>
      <rPr>
        <sz val="10"/>
        <color rgb="FF222222"/>
        <rFont val="Arial"/>
        <family val="0"/>
        <charset val="1"/>
      </rPr>
      <t xml:space="preserve">KB 448322 </t>
    </r>
    <r>
      <rPr>
        <sz val="10"/>
        <color rgb="FF222222"/>
        <rFont val="Noto Sans CJK SC"/>
        <family val="2"/>
      </rPr>
      <t xml:space="preserve">修正後重做；必要時以 </t>
    </r>
    <r>
      <rPr>
        <sz val="10"/>
        <color rgb="FF222222"/>
        <rFont val="Arial"/>
        <family val="0"/>
        <charset val="1"/>
      </rPr>
      <t xml:space="preserve">SRM </t>
    </r>
    <r>
      <rPr>
        <sz val="10"/>
        <color rgb="FF222222"/>
        <rFont val="Noto Sans CJK SC"/>
        <family val="2"/>
      </rPr>
      <t xml:space="preserve">設定匯出還原</t>
    </r>
  </si>
  <si>
    <t xml:space="preserve">KB 448322</t>
  </si>
  <si>
    <t xml:space="preserve">#8</t>
  </si>
  <si>
    <r>
      <rPr>
        <b val="true"/>
        <sz val="10.5"/>
        <color rgb="FFFFFFFF"/>
        <rFont val="Arial"/>
        <family val="0"/>
        <charset val="1"/>
      </rPr>
      <t xml:space="preserve">S09</t>
    </r>
    <r>
      <rPr>
        <b val="true"/>
        <sz val="10.5"/>
        <color rgb="FFFFFFFF"/>
        <rFont val="Noto Sans CJK SC"/>
        <family val="2"/>
      </rPr>
      <t xml:space="preserve">｜</t>
    </r>
    <r>
      <rPr>
        <b val="true"/>
        <sz val="10.5"/>
        <color rgb="FFFFFFFF"/>
        <rFont val="Arial"/>
        <family val="0"/>
        <charset val="1"/>
      </rPr>
      <t xml:space="preserve">Import </t>
    </r>
    <r>
      <rPr>
        <b val="true"/>
        <sz val="10.5"/>
        <color rgb="FFFFFFFF"/>
        <rFont val="Noto Sans CJK SC"/>
        <family val="2"/>
      </rPr>
      <t xml:space="preserve">整合雲 </t>
    </r>
    <r>
      <rPr>
        <b val="true"/>
        <sz val="10.5"/>
        <color rgb="FFFFFFFF"/>
        <rFont val="Arial"/>
        <family val="0"/>
        <charset val="1"/>
      </rPr>
      <t xml:space="preserve">as a VI Workload Domain</t>
    </r>
    <r>
      <rPr>
        <b val="true"/>
        <sz val="10.5"/>
        <color rgb="FFFFFFFF"/>
        <rFont val="Noto Sans CJK SC"/>
        <family val="2"/>
      </rPr>
      <t xml:space="preserve">｜整合雲 匯入為 </t>
    </r>
    <r>
      <rPr>
        <b val="true"/>
        <sz val="10.5"/>
        <color rgb="FFFFFFFF"/>
        <rFont val="Arial"/>
        <family val="0"/>
        <charset val="1"/>
      </rPr>
      <t xml:space="preserve">VI Workload Domain</t>
    </r>
    <r>
      <rPr>
        <b val="true"/>
        <sz val="10.5"/>
        <color rgb="FFFFFFFF"/>
        <rFont val="Noto Sans CJK SC"/>
        <family val="2"/>
      </rPr>
      <t xml:space="preserve">（共用管理網域 </t>
    </r>
    <r>
      <rPr>
        <b val="true"/>
        <sz val="10.5"/>
        <color rgb="FFFFFFFF"/>
        <rFont val="Arial"/>
        <family val="0"/>
        <charset val="1"/>
      </rPr>
      <t xml:space="preserve">NSX 9.1.1</t>
    </r>
    <r>
      <rPr>
        <b val="true"/>
        <sz val="10.5"/>
        <color rgb="FFFFFFFF"/>
        <rFont val="Noto Sans CJK SC"/>
        <family val="2"/>
      </rPr>
      <t xml:space="preserve">）｜</t>
    </r>
    <r>
      <rPr>
        <b val="true"/>
        <sz val="10.5"/>
        <color rgb="FFFFFFFF"/>
        <rFont val="Arial"/>
        <family val="0"/>
        <charset val="1"/>
      </rPr>
      <t xml:space="preserve">G3 ⚠ PONR</t>
    </r>
    <r>
      <rPr>
        <b val="true"/>
        <sz val="10.5"/>
        <color rgb="FFFFFFFF"/>
        <rFont val="Noto Sans CJK SC"/>
        <family val="2"/>
      </rPr>
      <t xml:space="preserve">｜</t>
    </r>
    <r>
      <rPr>
        <b val="true"/>
        <sz val="10.5"/>
        <color rgb="FFFFFFFF"/>
        <rFont val="Arial"/>
        <family val="0"/>
        <charset val="1"/>
      </rPr>
      <t xml:space="preserve">Lab</t>
    </r>
    <r>
      <rPr>
        <b val="true"/>
        <sz val="10.5"/>
        <color rgb="FFFFFFFF"/>
        <rFont val="Noto Sans CJK SC"/>
        <family val="2"/>
      </rPr>
      <t xml:space="preserve">：約 </t>
    </r>
    <r>
      <rPr>
        <b val="true"/>
        <sz val="10.5"/>
        <color rgb="FFFFFFFF"/>
        <rFont val="Arial"/>
        <family val="0"/>
        <charset val="1"/>
      </rPr>
      <t xml:space="preserve">15 </t>
    </r>
    <r>
      <rPr>
        <b val="true"/>
        <sz val="10.5"/>
        <color rgb="FFFFFFFF"/>
        <rFont val="Noto Sans CJK SC"/>
        <family val="2"/>
      </rPr>
      <t xml:space="preserve">分（</t>
    </r>
    <r>
      <rPr>
        <b val="true"/>
        <sz val="10.5"/>
        <color rgb="FFFFFFFF"/>
        <rFont val="Arial"/>
        <family val="0"/>
        <charset val="1"/>
      </rPr>
      <t xml:space="preserve">57 subtasks</t>
    </r>
    <r>
      <rPr>
        <b val="true"/>
        <sz val="10.5"/>
        <color rgb="FFFFFFFF"/>
        <rFont val="Noto Sans CJK SC"/>
        <family val="2"/>
      </rPr>
      <t xml:space="preserve">）｜負責：</t>
    </r>
    <r>
      <rPr>
        <b val="true"/>
        <sz val="10.5"/>
        <color rgb="FFFFFFFF"/>
        <rFont val="Arial"/>
        <family val="0"/>
        <charset val="1"/>
      </rPr>
      <t xml:space="preserve">ARC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ENG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SYS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NET</t>
    </r>
  </si>
  <si>
    <t xml:space="preserve">S09-01</t>
  </si>
  <si>
    <r>
      <rPr>
        <sz val="10"/>
        <color rgb="FF222222"/>
        <rFont val="Arial"/>
        <family val="0"/>
        <charset val="1"/>
      </rPr>
      <t xml:space="preserve">vCenter </t>
    </r>
    <r>
      <rPr>
        <sz val="10"/>
        <color rgb="FF222222"/>
        <rFont val="Noto Sans CJK SC"/>
        <family val="2"/>
      </rPr>
      <t xml:space="preserve">已 </t>
    </r>
    <r>
      <rPr>
        <sz val="10"/>
        <color rgb="FF222222"/>
        <rFont val="Arial"/>
        <family val="0"/>
        <charset val="1"/>
      </rPr>
      <t xml:space="preserve">9.1.1</t>
    </r>
    <r>
      <rPr>
        <sz val="10"/>
        <color rgb="FF222222"/>
        <rFont val="Noto Sans CJK SC"/>
        <family val="2"/>
      </rPr>
      <t xml:space="preserve">（共用 </t>
    </r>
    <r>
      <rPr>
        <sz val="10"/>
        <color rgb="FF222222"/>
        <rFont val="Arial"/>
        <family val="0"/>
        <charset val="1"/>
      </rPr>
      <t xml:space="preserve">NSX 9.1 </t>
    </r>
    <r>
      <rPr>
        <sz val="10"/>
        <color rgb="FF222222"/>
        <rFont val="Noto Sans CJK SC"/>
        <family val="2"/>
      </rPr>
      <t xml:space="preserve">的前提：</t>
    </r>
    <r>
      <rPr>
        <sz val="10"/>
        <color rgb="FF222222"/>
        <rFont val="Arial"/>
        <family val="0"/>
        <charset val="1"/>
      </rPr>
      <t xml:space="preserve">NSX 9.1 </t>
    </r>
    <r>
      <rPr>
        <sz val="10"/>
        <color rgb="FF222222"/>
        <rFont val="Noto Sans CJK SC"/>
        <family val="2"/>
      </rPr>
      <t xml:space="preserve">不支援 </t>
    </r>
    <r>
      <rPr>
        <sz val="10"/>
        <color rgb="FF222222"/>
        <rFont val="Arial"/>
        <family val="0"/>
        <charset val="1"/>
      </rPr>
      <t xml:space="preserve">vCenter 8.0U3a </t>
    </r>
    <r>
      <rPr>
        <sz val="10"/>
        <color rgb="FF222222"/>
        <rFont val="Noto Sans CJK SC"/>
        <family val="2"/>
      </rPr>
      <t xml:space="preserve">以後的 </t>
    </r>
    <r>
      <rPr>
        <sz val="10"/>
        <color rgb="FF222222"/>
        <rFont val="Arial"/>
        <family val="0"/>
        <charset val="1"/>
      </rPr>
      <t xml:space="preserve">8.x</t>
    </r>
    <r>
      <rPr>
        <sz val="10"/>
        <color rgb="FF222222"/>
        <rFont val="Noto Sans CJK SC"/>
        <family val="2"/>
      </rPr>
      <t xml:space="preserve">）</t>
    </r>
  </si>
  <si>
    <t xml:space="preserve">TechDocs: Import an Existing vCenter to Create a Workload Domain</t>
  </si>
  <si>
    <t xml:space="preserve">S09-02</t>
  </si>
  <si>
    <r>
      <rPr>
        <sz val="10"/>
        <color rgb="FF222222"/>
        <rFont val="Arial"/>
        <family val="0"/>
        <charset val="1"/>
      </rPr>
      <t xml:space="preserve">vCenter </t>
    </r>
    <r>
      <rPr>
        <sz val="10"/>
        <color rgb="FF222222"/>
        <rFont val="Noto Sans CJK SC"/>
        <family val="2"/>
      </rPr>
      <t xml:space="preserve">開 </t>
    </r>
    <r>
      <rPr>
        <sz val="10"/>
        <color rgb="FF222222"/>
        <rFont val="Arial"/>
        <family val="0"/>
        <charset val="1"/>
      </rPr>
      <t xml:space="preserve">SSH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ESXi </t>
    </r>
    <r>
      <rPr>
        <sz val="10"/>
        <color rgb="FF222222"/>
        <rFont val="Noto Sans CJK SC"/>
        <family val="2"/>
      </rPr>
      <t xml:space="preserve">以 </t>
    </r>
    <r>
      <rPr>
        <sz val="10"/>
        <color rgb="FF222222"/>
        <rFont val="Arial"/>
        <family val="0"/>
        <charset val="1"/>
      </rPr>
      <t xml:space="preserve">FQDN </t>
    </r>
    <r>
      <rPr>
        <sz val="10"/>
        <color rgb="FF222222"/>
        <rFont val="Noto Sans CJK SC"/>
        <family val="2"/>
      </rPr>
      <t xml:space="preserve">加入；</t>
    </r>
    <r>
      <rPr>
        <sz val="10"/>
        <color rgb="FF222222"/>
        <rFont val="Arial"/>
        <family val="0"/>
        <charset val="1"/>
      </rPr>
      <t xml:space="preserve">vLCM image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Image Setup</t>
    </r>
    <r>
      <rPr>
        <sz val="10"/>
        <color rgb="FF222222"/>
        <rFont val="Noto Sans CJK SC"/>
        <family val="2"/>
      </rPr>
      <t xml:space="preserve">「沿用現行映像」，之後不能回 </t>
    </r>
    <r>
      <rPr>
        <sz val="10"/>
        <color rgb="FF222222"/>
        <rFont val="Arial"/>
        <family val="0"/>
        <charset val="1"/>
      </rPr>
      <t xml:space="preserve">baseline</t>
    </r>
    <r>
      <rPr>
        <sz val="10"/>
        <color rgb="FF222222"/>
        <rFont val="Noto Sans CJK SC"/>
        <family val="2"/>
      </rPr>
      <t xml:space="preserve">）；</t>
    </r>
    <r>
      <rPr>
        <sz val="10"/>
        <color rgb="FF222222"/>
        <rFont val="Arial"/>
        <family val="0"/>
        <charset val="1"/>
      </rPr>
      <t xml:space="preserve">DRS FA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VDS 8+</t>
    </r>
    <r>
      <rPr>
        <sz val="10"/>
        <color rgb="FF222222"/>
        <rFont val="Noto Sans CJK SC"/>
        <family val="2"/>
      </rPr>
      <t xml:space="preserve">；無 </t>
    </r>
    <r>
      <rPr>
        <sz val="10"/>
        <color rgb="FF222222"/>
        <rFont val="Arial"/>
        <family val="0"/>
        <charset val="1"/>
      </rPr>
      <t xml:space="preserve">ELM / VCHA</t>
    </r>
  </si>
  <si>
    <r>
      <rPr>
        <sz val="9.5"/>
        <color rgb="FF222222"/>
        <rFont val="Arial"/>
        <family val="0"/>
        <charset val="1"/>
      </rPr>
      <t xml:space="preserve">TechDocs: Import an Existing vCenter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CXS Lab </t>
    </r>
    <r>
      <rPr>
        <sz val="9.5"/>
        <color rgb="FF222222"/>
        <rFont val="Noto Sans CJK SC"/>
        <family val="2"/>
      </rPr>
      <t xml:space="preserve">實測</t>
    </r>
  </si>
  <si>
    <t xml:space="preserve">S09-03</t>
  </si>
  <si>
    <r>
      <rPr>
        <sz val="10"/>
        <color rgb="FF222222"/>
        <rFont val="Noto Sans CJK SC"/>
        <family val="2"/>
      </rPr>
      <t xml:space="preserve">在管理網域 </t>
    </r>
    <r>
      <rPr>
        <sz val="10"/>
        <color rgb="FF222222"/>
        <rFont val="Arial"/>
        <family val="0"/>
        <charset val="1"/>
      </rPr>
      <t xml:space="preserve">NSX </t>
    </r>
    <r>
      <rPr>
        <sz val="10"/>
        <color rgb="FF222222"/>
        <rFont val="Noto Sans CJK SC"/>
        <family val="2"/>
      </rPr>
      <t xml:space="preserve">先把此 </t>
    </r>
    <r>
      <rPr>
        <sz val="10"/>
        <color rgb="FF222222"/>
        <rFont val="Arial"/>
        <family val="0"/>
        <charset val="1"/>
      </rPr>
      <t xml:space="preserve">vCenter </t>
    </r>
    <r>
      <rPr>
        <sz val="10"/>
        <color rgb="FF222222"/>
        <rFont val="Noto Sans CJK SC"/>
        <family val="2"/>
      </rPr>
      <t xml:space="preserve">註冊為 </t>
    </r>
    <r>
      <rPr>
        <sz val="10"/>
        <color rgb="FF222222"/>
        <rFont val="Arial"/>
        <family val="0"/>
        <charset val="1"/>
      </rPr>
      <t xml:space="preserve">Compute Manager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CXS Lab precheck Error</t>
    </r>
    <r>
      <rPr>
        <sz val="10"/>
        <color rgb="FF222222"/>
        <rFont val="Noto Sans CJK SC"/>
        <family val="2"/>
      </rPr>
      <t xml:space="preserve">）</t>
    </r>
  </si>
  <si>
    <t xml:space="preserve">NSX UI &gt; System &gt; Fabric &gt; Compute Managers</t>
  </si>
  <si>
    <t xml:space="preserve">Registered / Up</t>
  </si>
  <si>
    <t xml:space="preserve">S09-04</t>
  </si>
  <si>
    <r>
      <rPr>
        <sz val="10"/>
        <color rgb="FF222222"/>
        <rFont val="Arial"/>
        <family val="0"/>
        <charset val="1"/>
      </rPr>
      <t xml:space="preserve">SDDC Manager → NSX 443 </t>
    </r>
    <r>
      <rPr>
        <sz val="10"/>
        <color rgb="FF222222"/>
        <rFont val="Noto Sans CJK SC"/>
        <family val="2"/>
      </rPr>
      <t xml:space="preserve">可通；</t>
    </r>
    <r>
      <rPr>
        <sz val="10"/>
        <color rgb="FF222222"/>
        <rFont val="Arial"/>
        <family val="0"/>
        <charset val="1"/>
      </rPr>
      <t xml:space="preserve">NSX </t>
    </r>
    <r>
      <rPr>
        <sz val="10"/>
        <color rgb="FF222222"/>
        <rFont val="Noto Sans CJK SC"/>
        <family val="2"/>
      </rPr>
      <t xml:space="preserve">憑證 </t>
    </r>
    <r>
      <rPr>
        <sz val="10"/>
        <color rgb="FF222222"/>
        <rFont val="Arial"/>
        <family val="0"/>
        <charset val="1"/>
      </rPr>
      <t xml:space="preserve">SAN </t>
    </r>
    <r>
      <rPr>
        <sz val="10"/>
        <color rgb="FF222222"/>
        <rFont val="Noto Sans CJK SC"/>
        <family val="2"/>
      </rPr>
      <t xml:space="preserve">含所有節點 </t>
    </r>
    <r>
      <rPr>
        <sz val="10"/>
        <color rgb="FF222222"/>
        <rFont val="Arial"/>
        <family val="0"/>
        <charset val="1"/>
      </rPr>
      <t xml:space="preserve">FQDN </t>
    </r>
    <r>
      <rPr>
        <sz val="10"/>
        <color rgb="FF222222"/>
        <rFont val="Noto Sans CJK SC"/>
        <family val="2"/>
      </rPr>
      <t xml:space="preserve">與 </t>
    </r>
    <r>
      <rPr>
        <sz val="10"/>
        <color rgb="FF222222"/>
        <rFont val="Arial"/>
        <family val="0"/>
        <charset val="1"/>
      </rPr>
      <t xml:space="preserve">VIP</t>
    </r>
    <r>
      <rPr>
        <sz val="10"/>
        <color rgb="FF222222"/>
        <rFont val="Noto Sans CJK SC"/>
        <family val="2"/>
      </rPr>
      <t xml:space="preserve">；授權容量足夠</t>
    </r>
  </si>
  <si>
    <t xml:space="preserve">TechDocs: Import an Existing vCenter</t>
  </si>
  <si>
    <t xml:space="preserve">S09-05</t>
  </si>
  <si>
    <t xml:space="preserve">VCF Ops &gt; Operate &gt; Inventory &gt; Detailed View &gt; VCF Instances &gt; Add Workload Domain &gt; Import a vCenter → Prechecks → Review → Finish</t>
  </si>
  <si>
    <t xml:space="preserve">VCF Operations UI</t>
  </si>
  <si>
    <t xml:space="preserve">Prechecks 0 Error</t>
  </si>
  <si>
    <t xml:space="preserve">S09-06</t>
  </si>
  <si>
    <r>
      <rPr>
        <sz val="10"/>
        <color rgb="FF222222"/>
        <rFont val="Arial"/>
        <family val="0"/>
        <charset val="1"/>
      </rPr>
      <t xml:space="preserve">9.1.1 </t>
    </r>
    <r>
      <rPr>
        <sz val="10"/>
        <color rgb="FF222222"/>
        <rFont val="Noto Sans CJK SC"/>
        <family val="2"/>
      </rPr>
      <t xml:space="preserve">預設 </t>
    </r>
    <r>
      <rPr>
        <sz val="10"/>
        <color rgb="FF222222"/>
        <rFont val="Arial"/>
        <family val="0"/>
        <charset val="1"/>
      </rPr>
      <t xml:space="preserve">VLAN-backed VPC</t>
    </r>
    <r>
      <rPr>
        <sz val="10"/>
        <color rgb="FF222222"/>
        <rFont val="Noto Sans CJK SC"/>
        <family val="2"/>
      </rPr>
      <t xml:space="preserve">、不在 </t>
    </r>
    <r>
      <rPr>
        <sz val="10"/>
        <color rgb="FF222222"/>
        <rFont val="Arial"/>
        <family val="0"/>
        <charset val="1"/>
      </rPr>
      <t xml:space="preserve">DVPG </t>
    </r>
    <r>
      <rPr>
        <sz val="10"/>
        <color rgb="FF222222"/>
        <rFont val="Noto Sans CJK SC"/>
        <family val="2"/>
      </rPr>
      <t xml:space="preserve">上啟用 </t>
    </r>
    <r>
      <rPr>
        <sz val="10"/>
        <color rgb="FF222222"/>
        <rFont val="Arial"/>
        <family val="0"/>
        <charset val="1"/>
      </rPr>
      <t xml:space="preserve">NSX</t>
    </r>
    <r>
      <rPr>
        <sz val="10"/>
        <color rgb="FF222222"/>
        <rFont val="Noto Sans CJK SC"/>
        <family val="2"/>
      </rPr>
      <t xml:space="preserve">（既有 </t>
    </r>
    <r>
      <rPr>
        <sz val="10"/>
        <color rgb="FF222222"/>
        <rFont val="Arial"/>
        <family val="0"/>
        <charset val="1"/>
      </rPr>
      <t xml:space="preserve">VM </t>
    </r>
    <r>
      <rPr>
        <sz val="10"/>
        <color rgb="FF222222"/>
        <rFont val="Noto Sans CJK SC"/>
        <family val="2"/>
      </rPr>
      <t xml:space="preserve">網路不變）</t>
    </r>
  </si>
  <si>
    <r>
      <rPr>
        <sz val="9.5"/>
        <color rgb="FF222222"/>
        <rFont val="Arial"/>
        <family val="0"/>
        <charset val="1"/>
      </rPr>
      <t xml:space="preserve">TechDocs: Import an Existing vCenter</t>
    </r>
    <r>
      <rPr>
        <sz val="9.5"/>
        <color rgb="FF222222"/>
        <rFont val="Noto Sans CJK SC"/>
        <family val="2"/>
      </rPr>
      <t xml:space="preserve">（</t>
    </r>
    <r>
      <rPr>
        <sz val="9.5"/>
        <color rgb="FF222222"/>
        <rFont val="Arial"/>
        <family val="0"/>
        <charset val="1"/>
      </rPr>
      <t xml:space="preserve">9.1.1 changes</t>
    </r>
    <r>
      <rPr>
        <sz val="9.5"/>
        <color rgb="FF222222"/>
        <rFont val="Noto Sans CJK SC"/>
        <family val="2"/>
      </rPr>
      <t xml:space="preserve">）</t>
    </r>
  </si>
  <si>
    <t xml:space="preserve">S09-07</t>
  </si>
  <si>
    <r>
      <rPr>
        <sz val="10"/>
        <color rgb="FF222222"/>
        <rFont val="Arial"/>
        <family val="0"/>
        <charset val="1"/>
      </rPr>
      <t xml:space="preserve">Domain ACTIVE</t>
    </r>
    <r>
      <rPr>
        <sz val="10"/>
        <color rgb="FF222222"/>
        <rFont val="Noto Sans CJK SC"/>
        <family val="2"/>
      </rPr>
      <t xml:space="preserve">；主機全部 </t>
    </r>
    <r>
      <rPr>
        <sz val="10"/>
        <color rgb="FF222222"/>
        <rFont val="Arial"/>
        <family val="0"/>
        <charset val="1"/>
      </rPr>
      <t xml:space="preserve">ASSIGNED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ESXi </t>
    </r>
    <r>
      <rPr>
        <sz val="10"/>
        <color rgb="FF222222"/>
        <rFont val="Noto Sans CJK SC"/>
        <family val="2"/>
      </rPr>
      <t xml:space="preserve">仍 </t>
    </r>
    <r>
      <rPr>
        <sz val="10"/>
        <color rgb="FF222222"/>
        <rFont val="Arial"/>
        <family val="0"/>
        <charset val="1"/>
      </rPr>
      <t xml:space="preserve">8.0.3</t>
    </r>
    <r>
      <rPr>
        <sz val="10"/>
        <color rgb="FF222222"/>
        <rFont val="Noto Sans CJK SC"/>
        <family val="2"/>
      </rPr>
      <t xml:space="preserve">）；與管理網域共用同一套 </t>
    </r>
    <r>
      <rPr>
        <sz val="10"/>
        <color rgb="FF222222"/>
        <rFont val="Arial"/>
        <family val="0"/>
        <charset val="1"/>
      </rPr>
      <t xml:space="preserve">NSX</t>
    </r>
  </si>
  <si>
    <r>
      <rPr>
        <sz val="9.5"/>
        <color rgb="FF222222"/>
        <rFont val="Arial"/>
        <family val="0"/>
        <charset val="1"/>
      </rPr>
      <t xml:space="preserve">SDDC Manager UI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GET /v1/hosts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GET /v1/nsxt-clusters</t>
    </r>
  </si>
  <si>
    <t xml:space="preserve">S09-08</t>
  </si>
  <si>
    <r>
      <rPr>
        <sz val="10"/>
        <color rgb="FF222222"/>
        <rFont val="Arial"/>
        <family val="0"/>
        <charset val="1"/>
      </rPr>
      <t xml:space="preserve">VM </t>
    </r>
    <r>
      <rPr>
        <sz val="10"/>
        <color rgb="FF222222"/>
        <rFont val="Noto Sans CJK SC"/>
        <family val="2"/>
      </rPr>
      <t xml:space="preserve">網路不中斷；</t>
    </r>
    <r>
      <rPr>
        <sz val="10"/>
        <color rgb="FF222222"/>
        <rFont val="Arial"/>
        <family val="0"/>
        <charset val="1"/>
      </rPr>
      <t xml:space="preserve">SRM Site Pair </t>
    </r>
    <r>
      <rPr>
        <sz val="10"/>
        <color rgb="FF222222"/>
        <rFont val="Noto Sans CJK SC"/>
        <family val="2"/>
      </rPr>
      <t xml:space="preserve">仍 </t>
    </r>
    <r>
      <rPr>
        <sz val="10"/>
        <color rgb="FF222222"/>
        <rFont val="Arial"/>
        <family val="0"/>
        <charset val="1"/>
      </rPr>
      <t xml:space="preserve">Connected</t>
    </r>
  </si>
  <si>
    <t xml:space="preserve">S09-09</t>
  </si>
  <si>
    <r>
      <rPr>
        <b val="true"/>
        <sz val="10"/>
        <color rgb="FFA6192E"/>
        <rFont val="Noto Sans CJK SC"/>
        <family val="2"/>
      </rPr>
      <t xml:space="preserve">無 </t>
    </r>
    <r>
      <rPr>
        <b val="true"/>
        <sz val="10"/>
        <color rgb="FFA6192E"/>
        <rFont val="Arial"/>
        <family val="0"/>
        <charset val="1"/>
      </rPr>
      <t xml:space="preserve">UI </t>
    </r>
    <r>
      <rPr>
        <b val="true"/>
        <sz val="10"/>
        <color rgb="FFA6192E"/>
        <rFont val="Noto Sans CJK SC"/>
        <family val="2"/>
      </rPr>
      <t xml:space="preserve">反向程序；僅 </t>
    </r>
    <r>
      <rPr>
        <b val="true"/>
        <sz val="10"/>
        <color rgb="FFA6192E"/>
        <rFont val="Arial"/>
        <family val="0"/>
        <charset val="1"/>
      </rPr>
      <t xml:space="preserve">KB 436924</t>
    </r>
    <r>
      <rPr>
        <b val="true"/>
        <sz val="10"/>
        <color rgb="FFA6192E"/>
        <rFont val="Noto Sans CJK SC"/>
        <family val="2"/>
      </rPr>
      <t xml:space="preserve">（</t>
    </r>
    <r>
      <rPr>
        <b val="true"/>
        <sz val="10"/>
        <color rgb="FFA6192E"/>
        <rFont val="Arial"/>
        <family val="0"/>
        <charset val="1"/>
      </rPr>
      <t xml:space="preserve">API </t>
    </r>
    <r>
      <rPr>
        <b val="true"/>
        <sz val="10"/>
        <color rgb="FFA6192E"/>
        <rFont val="Noto Sans CJK SC"/>
        <family val="2"/>
      </rPr>
      <t xml:space="preserve">移除匯入的 </t>
    </r>
    <r>
      <rPr>
        <b val="true"/>
        <sz val="10"/>
        <color rgb="FFA6192E"/>
        <rFont val="Arial"/>
        <family val="0"/>
        <charset val="1"/>
      </rPr>
      <t xml:space="preserve">domain</t>
    </r>
    <r>
      <rPr>
        <b val="true"/>
        <sz val="10"/>
        <color rgb="FFA6192E"/>
        <rFont val="Noto Sans CJK SC"/>
        <family val="2"/>
      </rPr>
      <t xml:space="preserve">，</t>
    </r>
    <r>
      <rPr>
        <b val="true"/>
        <sz val="10"/>
        <color rgb="FFA6192E"/>
        <rFont val="Arial"/>
        <family val="0"/>
        <charset val="1"/>
      </rPr>
      <t xml:space="preserve">troubleshooting </t>
    </r>
    <r>
      <rPr>
        <b val="true"/>
        <sz val="10"/>
        <color rgb="FFA6192E"/>
        <rFont val="Noto Sans CJK SC"/>
        <family val="2"/>
      </rPr>
      <t xml:space="preserve">用）</t>
    </r>
    <r>
      <rPr>
        <b val="true"/>
        <sz val="10"/>
        <color rgb="FFA6192E"/>
        <rFont val="Arial"/>
        <family val="0"/>
        <charset val="1"/>
      </rPr>
      <t xml:space="preserve">+ KB 430524</t>
    </r>
    <r>
      <rPr>
        <b val="true"/>
        <sz val="10"/>
        <color rgb="FFA6192E"/>
        <rFont val="Noto Sans CJK SC"/>
        <family val="2"/>
      </rPr>
      <t xml:space="preserve">（移除 </t>
    </r>
    <r>
      <rPr>
        <b val="true"/>
        <sz val="10"/>
        <color rgb="FFA6192E"/>
        <rFont val="Arial"/>
        <family val="0"/>
        <charset val="1"/>
      </rPr>
      <t xml:space="preserve">NSX / compute manager</t>
    </r>
    <r>
      <rPr>
        <b val="true"/>
        <sz val="10"/>
        <color rgb="FFA6192E"/>
        <rFont val="Noto Sans CJK SC"/>
        <family val="2"/>
      </rPr>
      <t xml:space="preserve">）→ </t>
    </r>
    <r>
      <rPr>
        <b val="true"/>
        <sz val="10"/>
        <color rgb="FFA6192E"/>
        <rFont val="Arial"/>
        <family val="0"/>
        <charset val="1"/>
      </rPr>
      <t xml:space="preserve">PONR</t>
    </r>
    <r>
      <rPr>
        <b val="true"/>
        <sz val="10"/>
        <color rgb="FFA6192E"/>
        <rFont val="Noto Sans CJK SC"/>
        <family val="2"/>
      </rPr>
      <t xml:space="preserve">，需簽核</t>
    </r>
  </si>
  <si>
    <r>
      <rPr>
        <sz val="9.5"/>
        <color rgb="FF222222"/>
        <rFont val="Arial"/>
        <family val="0"/>
        <charset val="1"/>
      </rPr>
      <t xml:space="preserve">KB 436924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KB 430524</t>
    </r>
  </si>
  <si>
    <r>
      <rPr>
        <b val="true"/>
        <sz val="9"/>
        <color rgb="FFFFFFFF"/>
        <rFont val="Arial"/>
        <family val="0"/>
        <charset val="1"/>
      </rPr>
      <t xml:space="preserve">#10</t>
    </r>
    <r>
      <rPr>
        <b val="true"/>
        <sz val="9"/>
        <color rgb="FFFFFFFF"/>
        <rFont val="Noto Sans CJK SC"/>
        <family val="2"/>
      </rPr>
      <t xml:space="preserve">（</t>
    </r>
    <r>
      <rPr>
        <b val="true"/>
        <sz val="9"/>
        <color rgb="FFFFFFFF"/>
        <rFont val="Arial"/>
        <family val="0"/>
        <charset val="1"/>
      </rPr>
      <t xml:space="preserve">ESXi</t>
    </r>
    <r>
      <rPr>
        <b val="true"/>
        <sz val="9"/>
        <color rgb="FFFFFFFF"/>
        <rFont val="Noto Sans CJK SC"/>
        <family val="2"/>
      </rPr>
      <t xml:space="preserve">）</t>
    </r>
  </si>
  <si>
    <r>
      <rPr>
        <b val="true"/>
        <sz val="10.5"/>
        <color rgb="FFFFFFFF"/>
        <rFont val="Arial"/>
        <family val="0"/>
        <charset val="1"/>
      </rPr>
      <t xml:space="preserve">S10</t>
    </r>
    <r>
      <rPr>
        <b val="true"/>
        <sz val="10.5"/>
        <color rgb="FFFFFFFF"/>
        <rFont val="Noto Sans CJK SC"/>
        <family val="2"/>
      </rPr>
      <t xml:space="preserve">｜整合雲 </t>
    </r>
    <r>
      <rPr>
        <b val="true"/>
        <sz val="10.5"/>
        <color rgb="FFFFFFFF"/>
        <rFont val="Arial"/>
        <family val="0"/>
        <charset val="1"/>
      </rPr>
      <t xml:space="preserve">ESXi 8.0.3 to 9.1.1 via VCF Lifecycle</t>
    </r>
    <r>
      <rPr>
        <b val="true"/>
        <sz val="10.5"/>
        <color rgb="FFFFFFFF"/>
        <rFont val="Noto Sans CJK SC"/>
        <family val="2"/>
      </rPr>
      <t xml:space="preserve">｜整合雲 </t>
    </r>
    <r>
      <rPr>
        <b val="true"/>
        <sz val="10.5"/>
        <color rgb="FFFFFFFF"/>
        <rFont val="Arial"/>
        <family val="0"/>
        <charset val="1"/>
      </rPr>
      <t xml:space="preserve">ESXi 8.0.3 → 9.1.1</t>
    </r>
    <r>
      <rPr>
        <b val="true"/>
        <sz val="10.5"/>
        <color rgb="FFFFFFFF"/>
        <rFont val="Noto Sans CJK SC"/>
        <family val="2"/>
      </rPr>
      <t xml:space="preserve">（</t>
    </r>
    <r>
      <rPr>
        <b val="true"/>
        <sz val="10.5"/>
        <color rgb="FFFFFFFF"/>
        <rFont val="Arial"/>
        <family val="0"/>
        <charset val="1"/>
      </rPr>
      <t xml:space="preserve">VCF LCM / vLCM image</t>
    </r>
    <r>
      <rPr>
        <b val="true"/>
        <sz val="10.5"/>
        <color rgb="FFFFFFFF"/>
        <rFont val="Noto Sans CJK SC"/>
        <family val="2"/>
      </rPr>
      <t xml:space="preserve">）｜負責：</t>
    </r>
    <r>
      <rPr>
        <b val="true"/>
        <sz val="10.5"/>
        <color rgb="FFFFFFFF"/>
        <rFont val="Arial"/>
        <family val="0"/>
        <charset val="1"/>
      </rPr>
      <t xml:space="preserve">ENG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SYS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DR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APP</t>
    </r>
  </si>
  <si>
    <r>
      <rPr>
        <sz val="10"/>
        <color rgb="FF222222"/>
        <rFont val="Arial"/>
        <family val="0"/>
        <charset val="1"/>
      </rPr>
      <t xml:space="preserve">#10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ESXi</t>
    </r>
    <r>
      <rPr>
        <sz val="10"/>
        <color rgb="FF222222"/>
        <rFont val="Noto Sans CJK SC"/>
        <family val="2"/>
      </rPr>
      <t xml:space="preserve">）</t>
    </r>
  </si>
  <si>
    <t xml:space="preserve">S10-01</t>
  </si>
  <si>
    <r>
      <rPr>
        <sz val="10"/>
        <color rgb="FF222222"/>
        <rFont val="Arial"/>
        <family val="0"/>
        <charset val="1"/>
      </rPr>
      <t xml:space="preserve">ESXi 9.1.1 </t>
    </r>
    <r>
      <rPr>
        <sz val="10"/>
        <color rgb="FF222222"/>
        <rFont val="Noto Sans CJK SC"/>
        <family val="2"/>
      </rPr>
      <t xml:space="preserve">映像 </t>
    </r>
    <r>
      <rPr>
        <sz val="10"/>
        <color rgb="FF222222"/>
        <rFont val="Arial"/>
        <family val="0"/>
        <charset val="1"/>
      </rPr>
      <t xml:space="preserve">/ bundle </t>
    </r>
    <r>
      <rPr>
        <sz val="10"/>
        <color rgb="FF222222"/>
        <rFont val="Noto Sans CJK SC"/>
        <family val="2"/>
      </rPr>
      <t xml:space="preserve">已在 </t>
    </r>
    <r>
      <rPr>
        <sz val="10"/>
        <color rgb="FF222222"/>
        <rFont val="Arial"/>
        <family val="0"/>
        <charset val="1"/>
      </rPr>
      <t xml:space="preserve">Software Depot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HCL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CPU / NIC / HBA / </t>
    </r>
    <r>
      <rPr>
        <sz val="10"/>
        <color rgb="FF222222"/>
        <rFont val="Noto Sans CJK SC"/>
        <family val="2"/>
      </rPr>
      <t xml:space="preserve">韌體）確認</t>
    </r>
  </si>
  <si>
    <t xml:space="preserve">TechDocs: Upgrading Workload Domains to 9.1.x</t>
  </si>
  <si>
    <t xml:space="preserve">S10-02</t>
  </si>
  <si>
    <r>
      <rPr>
        <sz val="10"/>
        <color rgb="FF222222"/>
        <rFont val="Arial"/>
        <family val="0"/>
        <charset val="1"/>
      </rPr>
      <t xml:space="preserve">vSAN health </t>
    </r>
    <r>
      <rPr>
        <sz val="10"/>
        <color rgb="FF222222"/>
        <rFont val="Noto Sans CJK SC"/>
        <family val="2"/>
      </rPr>
      <t xml:space="preserve">綠、</t>
    </r>
    <r>
      <rPr>
        <sz val="10"/>
        <color rgb="FF222222"/>
        <rFont val="Arial"/>
        <family val="0"/>
        <charset val="1"/>
      </rPr>
      <t xml:space="preserve">resync = 0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N-1 </t>
    </r>
    <r>
      <rPr>
        <sz val="10"/>
        <color rgb="FF222222"/>
        <rFont val="Noto Sans CJK SC"/>
        <family val="2"/>
      </rPr>
      <t xml:space="preserve">容量與 </t>
    </r>
    <r>
      <rPr>
        <sz val="10"/>
        <color rgb="FF222222"/>
        <rFont val="Arial"/>
        <family val="0"/>
        <charset val="1"/>
      </rPr>
      <t xml:space="preserve">HA admission </t>
    </r>
    <r>
      <rPr>
        <sz val="10"/>
        <color rgb="FF222222"/>
        <rFont val="Noto Sans CJK SC"/>
        <family val="2"/>
      </rPr>
      <t xml:space="preserve">足夠；</t>
    </r>
    <r>
      <rPr>
        <sz val="10"/>
        <color rgb="FF222222"/>
        <rFont val="Arial"/>
        <family val="0"/>
        <charset val="1"/>
      </rPr>
      <t xml:space="preserve">DRS FA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affinity </t>
    </r>
    <r>
      <rPr>
        <sz val="10"/>
        <color rgb="FF222222"/>
        <rFont val="Noto Sans CJK SC"/>
        <family val="2"/>
      </rPr>
      <t xml:space="preserve">規則與 </t>
    </r>
    <r>
      <rPr>
        <sz val="10"/>
        <color rgb="FF222222"/>
        <rFont val="Arial"/>
        <family val="0"/>
        <charset val="1"/>
      </rPr>
      <t xml:space="preserve">SRM placeholder VM </t>
    </r>
    <r>
      <rPr>
        <sz val="10"/>
        <color rgb="FF222222"/>
        <rFont val="Noto Sans CJK SC"/>
        <family val="2"/>
      </rPr>
      <t xml:space="preserve">確認</t>
    </r>
  </si>
  <si>
    <t xml:space="preserve">esxcli vsan debug resync summary get</t>
  </si>
  <si>
    <t xml:space="preserve">resync 0</t>
  </si>
  <si>
    <t xml:space="preserve">S10-03</t>
  </si>
  <si>
    <r>
      <rPr>
        <sz val="10"/>
        <color rgb="FF222222"/>
        <rFont val="Arial"/>
        <family val="0"/>
        <charset val="1"/>
      </rPr>
      <t xml:space="preserve">vSAN on-disk format </t>
    </r>
    <r>
      <rPr>
        <sz val="10"/>
        <color rgb="FF222222"/>
        <rFont val="Noto Sans CJK SC"/>
        <family val="2"/>
      </rPr>
      <t xml:space="preserve">本步不升（留到觀察期後，</t>
    </r>
    <r>
      <rPr>
        <sz val="10"/>
        <color rgb="FF222222"/>
        <rFont val="Arial"/>
        <family val="0"/>
        <charset val="1"/>
      </rPr>
      <t xml:space="preserve">S16</t>
    </r>
    <r>
      <rPr>
        <sz val="10"/>
        <color rgb="FF222222"/>
        <rFont val="Noto Sans CJK SC"/>
        <family val="2"/>
      </rPr>
      <t xml:space="preserve">）</t>
    </r>
  </si>
  <si>
    <t xml:space="preserve">TechDocs: About the vSAN Disk Format</t>
  </si>
  <si>
    <t xml:space="preserve">S10-04</t>
  </si>
  <si>
    <r>
      <rPr>
        <sz val="10"/>
        <color rgb="FF222222"/>
        <rFont val="Arial"/>
        <family val="0"/>
        <charset val="1"/>
      </rPr>
      <t xml:space="preserve">Workload Domain &gt; Updates</t>
    </r>
    <r>
      <rPr>
        <sz val="10"/>
        <color rgb="FF222222"/>
        <rFont val="Noto Sans CJK SC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Precheck → </t>
    </r>
    <r>
      <rPr>
        <sz val="10"/>
        <color rgb="FF222222"/>
        <rFont val="Noto Sans CJK SC"/>
        <family val="2"/>
      </rPr>
      <t xml:space="preserve">更新 </t>
    </r>
    <r>
      <rPr>
        <sz val="10"/>
        <color rgb="FF222222"/>
        <rFont val="Arial"/>
        <family val="0"/>
        <charset val="1"/>
      </rPr>
      <t xml:space="preserve">vLCM image → ESX </t>
    </r>
    <r>
      <rPr>
        <sz val="10"/>
        <color rgb="FF222222"/>
        <rFont val="Noto Sans CJK SC"/>
        <family val="2"/>
      </rPr>
      <t xml:space="preserve">升級（叢集 </t>
    </r>
    <r>
      <rPr>
        <sz val="10"/>
        <color rgb="FF222222"/>
        <rFont val="Arial"/>
        <family val="0"/>
        <charset val="1"/>
      </rPr>
      <t xml:space="preserve">rolling</t>
    </r>
    <r>
      <rPr>
        <sz val="10"/>
        <color rgb="FF222222"/>
        <rFont val="Noto Sans CJK SC"/>
        <family val="2"/>
      </rPr>
      <t xml:space="preserve">）</t>
    </r>
  </si>
  <si>
    <t xml:space="preserve">VCF Ops / SDDC Manager &gt; Workload Domain &gt; Updates</t>
  </si>
  <si>
    <t xml:space="preserve">S10-05</t>
  </si>
  <si>
    <r>
      <rPr>
        <sz val="10"/>
        <color rgb="FF222222"/>
        <rFont val="Arial"/>
        <family val="0"/>
        <charset val="1"/>
      </rPr>
      <t xml:space="preserve">6 </t>
    </r>
    <r>
      <rPr>
        <sz val="10"/>
        <color rgb="FF222222"/>
        <rFont val="Noto Sans CJK SC"/>
        <family val="2"/>
      </rPr>
      <t xml:space="preserve">台 </t>
    </r>
    <r>
      <rPr>
        <sz val="10"/>
        <color rgb="FF222222"/>
        <rFont val="Arial"/>
        <family val="0"/>
        <charset val="1"/>
      </rPr>
      <t xml:space="preserve">build 9.1.1</t>
    </r>
    <r>
      <rPr>
        <sz val="10"/>
        <color rgb="FF222222"/>
        <rFont val="Noto Sans CJK SC"/>
        <family val="2"/>
      </rPr>
      <t xml:space="preserve">、全部退出 </t>
    </r>
    <r>
      <rPr>
        <sz val="10"/>
        <color rgb="FF222222"/>
        <rFont val="Arial"/>
        <family val="0"/>
        <charset val="1"/>
      </rPr>
      <t xml:space="preserve">MM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vSAN </t>
    </r>
    <r>
      <rPr>
        <sz val="10"/>
        <color rgb="FF222222"/>
        <rFont val="Noto Sans CJK SC"/>
        <family val="2"/>
      </rPr>
      <t xml:space="preserve">綠；</t>
    </r>
    <r>
      <rPr>
        <sz val="10"/>
        <color rgb="FF222222"/>
        <rFont val="Arial"/>
        <family val="0"/>
        <charset val="1"/>
      </rPr>
      <t xml:space="preserve">cluster image compliant</t>
    </r>
  </si>
  <si>
    <t xml:space="preserve">S10-06</t>
  </si>
  <si>
    <r>
      <rPr>
        <sz val="10"/>
        <color rgb="FF222222"/>
        <rFont val="Arial"/>
        <family val="0"/>
        <charset val="1"/>
      </rPr>
      <t xml:space="preserve">SRM Test Recovery </t>
    </r>
    <r>
      <rPr>
        <sz val="10"/>
        <color rgb="FF222222"/>
        <rFont val="Noto Sans CJK SC"/>
        <family val="2"/>
      </rPr>
      <t xml:space="preserve">再驗一次；應用抽測</t>
    </r>
  </si>
  <si>
    <r>
      <rPr>
        <sz val="10"/>
        <color rgb="FF222222"/>
        <rFont val="Arial"/>
        <family val="0"/>
        <charset val="1"/>
      </rPr>
      <t xml:space="preserve">DR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APP</t>
    </r>
  </si>
  <si>
    <t xml:space="preserve">S10-07</t>
  </si>
  <si>
    <r>
      <rPr>
        <sz val="10"/>
        <color rgb="FF222222"/>
        <rFont val="Noto Sans CJK SC"/>
        <family val="2"/>
      </rPr>
      <t xml:space="preserve">單台 </t>
    </r>
    <r>
      <rPr>
        <sz val="10"/>
        <color rgb="FF222222"/>
        <rFont val="Arial"/>
        <family val="0"/>
        <charset val="1"/>
      </rPr>
      <t xml:space="preserve">Shift+R </t>
    </r>
    <r>
      <rPr>
        <sz val="10"/>
        <color rgb="FF222222"/>
        <rFont val="Noto Sans CJK SC"/>
        <family val="2"/>
      </rPr>
      <t xml:space="preserve">回 </t>
    </r>
    <r>
      <rPr>
        <sz val="10"/>
        <color rgb="FF222222"/>
        <rFont val="Arial"/>
        <family val="0"/>
        <charset val="1"/>
      </rPr>
      <t xml:space="preserve">altbootbank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vLCM image </t>
    </r>
    <r>
      <rPr>
        <sz val="10"/>
        <color rgb="FF222222"/>
        <rFont val="Noto Sans CJK SC"/>
        <family val="2"/>
      </rPr>
      <t xml:space="preserve">一致性影響屬推定，需 </t>
    </r>
    <r>
      <rPr>
        <sz val="10"/>
        <color rgb="FF222222"/>
        <rFont val="Arial"/>
        <family val="0"/>
        <charset val="1"/>
      </rPr>
      <t xml:space="preserve">Lab </t>
    </r>
    <r>
      <rPr>
        <sz val="10"/>
        <color rgb="FF222222"/>
        <rFont val="Noto Sans CJK SC"/>
        <family val="2"/>
      </rPr>
      <t xml:space="preserve">驗證）；</t>
    </r>
    <r>
      <rPr>
        <sz val="10"/>
        <color rgb="FF222222"/>
        <rFont val="Arial"/>
        <family val="0"/>
        <charset val="1"/>
      </rPr>
      <t xml:space="preserve">vSAN format </t>
    </r>
    <r>
      <rPr>
        <sz val="10"/>
        <color rgb="FF222222"/>
        <rFont val="Noto Sans CJK SC"/>
        <family val="2"/>
      </rPr>
      <t xml:space="preserve">升級後不可退</t>
    </r>
  </si>
  <si>
    <t xml:space="preserve">KB 316592</t>
  </si>
  <si>
    <r>
      <rPr>
        <b val="true"/>
        <sz val="9"/>
        <color rgb="FFFFFFFF"/>
        <rFont val="Arial"/>
        <family val="0"/>
        <charset val="1"/>
      </rPr>
      <t xml:space="preserve">#12</t>
    </r>
    <r>
      <rPr>
        <b val="true"/>
        <sz val="9"/>
        <color rgb="FFFFFFFF"/>
        <rFont val="Noto Sans CJK SC"/>
        <family val="2"/>
      </rPr>
      <t xml:space="preserve">（</t>
    </r>
    <r>
      <rPr>
        <b val="true"/>
        <sz val="9"/>
        <color rgb="FFFFFFFF"/>
        <rFont val="Arial"/>
        <family val="0"/>
        <charset val="1"/>
      </rPr>
      <t xml:space="preserve">vCenter</t>
    </r>
    <r>
      <rPr>
        <b val="true"/>
        <sz val="9"/>
        <color rgb="FFFFFFFF"/>
        <rFont val="Noto Sans CJK SC"/>
        <family val="2"/>
      </rPr>
      <t xml:space="preserve">）</t>
    </r>
  </si>
  <si>
    <r>
      <rPr>
        <b val="true"/>
        <sz val="10.5"/>
        <color rgb="FFFFFFFF"/>
        <rFont val="Arial"/>
        <family val="0"/>
        <charset val="1"/>
      </rPr>
      <t xml:space="preserve">S11</t>
    </r>
    <r>
      <rPr>
        <b val="true"/>
        <sz val="10.5"/>
        <color rgb="FFFFFFFF"/>
        <rFont val="Noto Sans CJK SC"/>
        <family val="2"/>
      </rPr>
      <t xml:space="preserve">｜中信雲 </t>
    </r>
    <r>
      <rPr>
        <b val="true"/>
        <sz val="10.5"/>
        <color rgb="FFFFFFFF"/>
        <rFont val="Arial"/>
        <family val="0"/>
        <charset val="1"/>
      </rPr>
      <t xml:space="preserve">vCenter 8.0.3 to 9.1.1 (RDU)</t>
    </r>
    <r>
      <rPr>
        <b val="true"/>
        <sz val="10.5"/>
        <color rgb="FFFFFFFF"/>
        <rFont val="Noto Sans CJK SC"/>
        <family val="2"/>
      </rPr>
      <t xml:space="preserve">｜中信雲 </t>
    </r>
    <r>
      <rPr>
        <b val="true"/>
        <sz val="10.5"/>
        <color rgb="FFFFFFFF"/>
        <rFont val="Arial"/>
        <family val="0"/>
        <charset val="1"/>
      </rPr>
      <t xml:space="preserve">vCenter 8.0.3 → 9.1.1</t>
    </r>
    <r>
      <rPr>
        <b val="true"/>
        <sz val="10.5"/>
        <color rgb="FFFFFFFF"/>
        <rFont val="Noto Sans CJK SC"/>
        <family val="2"/>
      </rPr>
      <t xml:space="preserve">（</t>
    </r>
    <r>
      <rPr>
        <b val="true"/>
        <sz val="10.5"/>
        <color rgb="FFFFFFFF"/>
        <rFont val="Arial"/>
        <family val="0"/>
        <charset val="1"/>
      </rPr>
      <t xml:space="preserve">RDU</t>
    </r>
    <r>
      <rPr>
        <b val="true"/>
        <sz val="10.5"/>
        <color rgb="FFFFFFFF"/>
        <rFont val="Noto Sans CJK SC"/>
        <family val="2"/>
      </rPr>
      <t xml:space="preserve">，</t>
    </r>
    <r>
      <rPr>
        <b val="true"/>
        <sz val="10.5"/>
        <color rgb="FFFFFFFF"/>
        <rFont val="Arial"/>
        <family val="0"/>
        <charset val="1"/>
      </rPr>
      <t xml:space="preserve">import </t>
    </r>
    <r>
      <rPr>
        <b val="true"/>
        <sz val="10.5"/>
        <color rgb="FFFFFFFF"/>
        <rFont val="Noto Sans CJK SC"/>
        <family val="2"/>
      </rPr>
      <t xml:space="preserve">前）｜</t>
    </r>
    <r>
      <rPr>
        <b val="true"/>
        <sz val="10.5"/>
        <color rgb="FFFFFFFF"/>
        <rFont val="Arial"/>
        <family val="0"/>
        <charset val="1"/>
      </rPr>
      <t xml:space="preserve">Lab</t>
    </r>
    <r>
      <rPr>
        <b val="true"/>
        <sz val="10.5"/>
        <color rgb="FFFFFFFF"/>
        <rFont val="Noto Sans CJK SC"/>
        <family val="2"/>
      </rPr>
      <t xml:space="preserve">：</t>
    </r>
    <r>
      <rPr>
        <b val="true"/>
        <sz val="10.5"/>
        <color rgb="FFFFFFFF"/>
        <rFont val="Arial"/>
        <family val="0"/>
        <charset val="1"/>
      </rPr>
      <t xml:space="preserve">RDU </t>
    </r>
    <r>
      <rPr>
        <b val="true"/>
        <sz val="10.5"/>
        <color rgb="FFFFFFFF"/>
        <rFont val="Noto Sans CJK SC"/>
        <family val="2"/>
      </rPr>
      <t xml:space="preserve">約 </t>
    </r>
    <r>
      <rPr>
        <b val="true"/>
        <sz val="10.5"/>
        <color rgb="FFFFFFFF"/>
        <rFont val="Arial"/>
        <family val="0"/>
        <charset val="1"/>
      </rPr>
      <t xml:space="preserve">33 </t>
    </r>
    <r>
      <rPr>
        <b val="true"/>
        <sz val="10.5"/>
        <color rgb="FFFFFFFF"/>
        <rFont val="Noto Sans CJK SC"/>
        <family val="2"/>
      </rPr>
      <t xml:space="preserve">分（停機約 </t>
    </r>
    <r>
      <rPr>
        <b val="true"/>
        <sz val="10.5"/>
        <color rgb="FFFFFFFF"/>
        <rFont val="Arial"/>
        <family val="0"/>
        <charset val="1"/>
      </rPr>
      <t xml:space="preserve">5 </t>
    </r>
    <r>
      <rPr>
        <b val="true"/>
        <sz val="10.5"/>
        <color rgb="FFFFFFFF"/>
        <rFont val="Noto Sans CJK SC"/>
        <family val="2"/>
      </rPr>
      <t xml:space="preserve">分）；</t>
    </r>
    <r>
      <rPr>
        <b val="true"/>
        <sz val="10.5"/>
        <color rgb="FFFFFFFF"/>
        <rFont val="Arial"/>
        <family val="0"/>
        <charset val="1"/>
      </rPr>
      <t xml:space="preserve">CLI migration </t>
    </r>
    <r>
      <rPr>
        <b val="true"/>
        <sz val="10.5"/>
        <color rgb="FFFFFFFF"/>
        <rFont val="Noto Sans CJK SC"/>
        <family val="2"/>
      </rPr>
      <t xml:space="preserve">約 </t>
    </r>
    <r>
      <rPr>
        <b val="true"/>
        <sz val="10.5"/>
        <color rgb="FFFFFFFF"/>
        <rFont val="Arial"/>
        <family val="0"/>
        <charset val="1"/>
      </rPr>
      <t xml:space="preserve">50 </t>
    </r>
    <r>
      <rPr>
        <b val="true"/>
        <sz val="10.5"/>
        <color rgb="FFFFFFFF"/>
        <rFont val="Noto Sans CJK SC"/>
        <family val="2"/>
      </rPr>
      <t xml:space="preserve">分｜負責：</t>
    </r>
    <r>
      <rPr>
        <b val="true"/>
        <sz val="10.5"/>
        <color rgb="FFFFFFFF"/>
        <rFont val="Arial"/>
        <family val="0"/>
        <charset val="1"/>
      </rPr>
      <t xml:space="preserve">ENG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SYS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DR</t>
    </r>
  </si>
  <si>
    <r>
      <rPr>
        <sz val="10"/>
        <color rgb="FF222222"/>
        <rFont val="Arial"/>
        <family val="0"/>
        <charset val="1"/>
      </rPr>
      <t xml:space="preserve">#12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vCenter</t>
    </r>
    <r>
      <rPr>
        <sz val="10"/>
        <color rgb="FF222222"/>
        <rFont val="Noto Sans CJK SC"/>
        <family val="2"/>
      </rPr>
      <t xml:space="preserve">）</t>
    </r>
  </si>
  <si>
    <t xml:space="preserve">S11-01</t>
  </si>
  <si>
    <t xml:space="preserve">S11-02</t>
  </si>
  <si>
    <r>
      <rPr>
        <sz val="10"/>
        <color rgb="FF222222"/>
        <rFont val="Noto Sans CJK SC"/>
        <family val="2"/>
      </rPr>
      <t xml:space="preserve">若中信雲為 </t>
    </r>
    <r>
      <rPr>
        <sz val="10"/>
        <color rgb="FF222222"/>
        <rFont val="Arial"/>
        <family val="0"/>
        <charset val="1"/>
      </rPr>
      <t xml:space="preserve">recovery site</t>
    </r>
    <r>
      <rPr>
        <sz val="10"/>
        <color rgb="FF222222"/>
        <rFont val="Noto Sans CJK SC"/>
        <family val="2"/>
      </rPr>
      <t xml:space="preserve">（依 </t>
    </r>
    <r>
      <rPr>
        <sz val="10"/>
        <color rgb="FF222222"/>
        <rFont val="Arial"/>
        <family val="0"/>
        <charset val="1"/>
      </rPr>
      <t xml:space="preserve">PG </t>
    </r>
    <r>
      <rPr>
        <sz val="10"/>
        <color rgb="FF222222"/>
        <rFont val="Noto Sans CJK SC"/>
        <family val="2"/>
      </rPr>
      <t xml:space="preserve">方向判定），排在 </t>
    </r>
    <r>
      <rPr>
        <sz val="10"/>
        <color rgb="FF222222"/>
        <rFont val="Arial"/>
        <family val="0"/>
        <charset val="1"/>
      </rPr>
      <t xml:space="preserve">protected site </t>
    </r>
    <r>
      <rPr>
        <sz val="10"/>
        <color rgb="FF222222"/>
        <rFont val="Noto Sans CJK SC"/>
        <family val="2"/>
      </rPr>
      <t xml:space="preserve">升級之後</t>
    </r>
  </si>
  <si>
    <t xml:space="preserve">S11-03</t>
  </si>
  <si>
    <r>
      <rPr>
        <sz val="10"/>
        <color rgb="FF222222"/>
        <rFont val="Arial"/>
        <family val="0"/>
        <charset val="1"/>
      </rPr>
      <t xml:space="preserve">vRA / vRO </t>
    </r>
    <r>
      <rPr>
        <sz val="10"/>
        <color rgb="FF222222"/>
        <rFont val="Noto Sans CJK SC"/>
        <family val="2"/>
      </rPr>
      <t xml:space="preserve">已移出中信雲；確認 </t>
    </r>
    <r>
      <rPr>
        <sz val="10"/>
        <color rgb="FF222222"/>
        <rFont val="Arial"/>
        <family val="0"/>
        <charset val="1"/>
      </rPr>
      <t xml:space="preserve">vIDM / Aria Suite Lifecycle </t>
    </r>
    <r>
      <rPr>
        <sz val="10"/>
        <color rgb="FF222222"/>
        <rFont val="Noto Sans CJK SC"/>
        <family val="2"/>
      </rPr>
      <t xml:space="preserve">所在位置不受此 </t>
    </r>
    <r>
      <rPr>
        <sz val="10"/>
        <color rgb="FF222222"/>
        <rFont val="Arial"/>
        <family val="0"/>
        <charset val="1"/>
      </rPr>
      <t xml:space="preserve">RDU </t>
    </r>
    <r>
      <rPr>
        <sz val="10"/>
        <color rgb="FF222222"/>
        <rFont val="Noto Sans CJK SC"/>
        <family val="2"/>
      </rPr>
      <t xml:space="preserve">停機影響</t>
    </r>
  </si>
  <si>
    <t xml:space="preserve">S11-04</t>
  </si>
  <si>
    <t xml:space="preserve">S11-05</t>
  </si>
  <si>
    <t xml:space="preserve">S11-06</t>
  </si>
  <si>
    <t xml:space="preserve">S11-07</t>
  </si>
  <si>
    <t xml:space="preserve">S11-08</t>
  </si>
  <si>
    <t xml:space="preserve">S11-09</t>
  </si>
  <si>
    <t xml:space="preserve">S11-10</t>
  </si>
  <si>
    <t xml:space="preserve">S11-11</t>
  </si>
  <si>
    <t xml:space="preserve">S11-12</t>
  </si>
  <si>
    <t xml:space="preserve">S11-13</t>
  </si>
  <si>
    <t xml:space="preserve">S11-14</t>
  </si>
  <si>
    <t xml:space="preserve">#13</t>
  </si>
  <si>
    <r>
      <rPr>
        <b val="true"/>
        <sz val="10.5"/>
        <color rgb="FFFFFFFF"/>
        <rFont val="Arial"/>
        <family val="0"/>
        <charset val="1"/>
      </rPr>
      <t xml:space="preserve">S12</t>
    </r>
    <r>
      <rPr>
        <b val="true"/>
        <sz val="10.5"/>
        <color rgb="FFFFFFFF"/>
        <rFont val="Noto Sans CJK SC"/>
        <family val="2"/>
      </rPr>
      <t xml:space="preserve">｜</t>
    </r>
    <r>
      <rPr>
        <b val="true"/>
        <sz val="10.5"/>
        <color rgb="FFFFFFFF"/>
        <rFont val="Arial"/>
        <family val="0"/>
        <charset val="1"/>
      </rPr>
      <t xml:space="preserve">SRM Reconfigure &amp; Site Pair Reconnect (</t>
    </r>
    <r>
      <rPr>
        <b val="true"/>
        <sz val="10.5"/>
        <color rgb="FFFFFFFF"/>
        <rFont val="Noto Sans CJK SC"/>
        <family val="2"/>
      </rPr>
      <t xml:space="preserve">中信雲</t>
    </r>
    <r>
      <rPr>
        <b val="true"/>
        <sz val="10.5"/>
        <color rgb="FFFFFFFF"/>
        <rFont val="Arial"/>
        <family val="0"/>
        <charset val="1"/>
      </rPr>
      <t xml:space="preserve">)</t>
    </r>
    <r>
      <rPr>
        <b val="true"/>
        <sz val="10.5"/>
        <color rgb="FFFFFFFF"/>
        <rFont val="Noto Sans CJK SC"/>
        <family val="2"/>
      </rPr>
      <t xml:space="preserve">｜中信雲 </t>
    </r>
    <r>
      <rPr>
        <b val="true"/>
        <sz val="10.5"/>
        <color rgb="FFFFFFFF"/>
        <rFont val="Arial"/>
        <family val="0"/>
        <charset val="1"/>
      </rPr>
      <t xml:space="preserve">vCenter </t>
    </r>
    <r>
      <rPr>
        <b val="true"/>
        <sz val="10.5"/>
        <color rgb="FFFFFFFF"/>
        <rFont val="Noto Sans CJK SC"/>
        <family val="2"/>
      </rPr>
      <t xml:space="preserve">升級後 </t>
    </r>
    <r>
      <rPr>
        <b val="true"/>
        <sz val="10.5"/>
        <color rgb="FFFFFFFF"/>
        <rFont val="Arial"/>
        <family val="0"/>
        <charset val="1"/>
      </rPr>
      <t xml:space="preserve">SRM </t>
    </r>
    <r>
      <rPr>
        <b val="true"/>
        <sz val="10.5"/>
        <color rgb="FFFFFFFF"/>
        <rFont val="Noto Sans CJK SC"/>
        <family val="2"/>
      </rPr>
      <t xml:space="preserve">重新註冊｜負責：</t>
    </r>
    <r>
      <rPr>
        <b val="true"/>
        <sz val="10.5"/>
        <color rgb="FFFFFFFF"/>
        <rFont val="Arial"/>
        <family val="0"/>
        <charset val="1"/>
      </rPr>
      <t xml:space="preserve">DR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ENG</t>
    </r>
  </si>
  <si>
    <t xml:space="preserve">S12-01</t>
  </si>
  <si>
    <t xml:space="preserve">S12-02</t>
  </si>
  <si>
    <t xml:space="preserve">S12-03</t>
  </si>
  <si>
    <t xml:space="preserve">S12-04</t>
  </si>
  <si>
    <t xml:space="preserve">S12-05</t>
  </si>
  <si>
    <t xml:space="preserve">S12-06</t>
  </si>
  <si>
    <t xml:space="preserve">S12-07</t>
  </si>
  <si>
    <r>
      <rPr>
        <sz val="10"/>
        <color rgb="FF222222"/>
        <rFont val="Arial"/>
        <family val="0"/>
        <charset val="1"/>
      </rPr>
      <t xml:space="preserve">Test Recovery </t>
    </r>
    <r>
      <rPr>
        <sz val="10"/>
        <color rgb="FF222222"/>
        <rFont val="Noto Sans CJK SC"/>
        <family val="2"/>
      </rPr>
      <t xml:space="preserve">兩個方向都驗（若兩朵雲互為配對）</t>
    </r>
  </si>
  <si>
    <t xml:space="preserve">S12-08</t>
  </si>
  <si>
    <t xml:space="preserve">S12-09</t>
  </si>
  <si>
    <t xml:space="preserve">#9</t>
  </si>
  <si>
    <r>
      <rPr>
        <b val="true"/>
        <sz val="10.5"/>
        <color rgb="FFFFFFFF"/>
        <rFont val="Arial"/>
        <family val="0"/>
        <charset val="1"/>
      </rPr>
      <t xml:space="preserve">S13</t>
    </r>
    <r>
      <rPr>
        <b val="true"/>
        <sz val="10.5"/>
        <color rgb="FFFFFFFF"/>
        <rFont val="Noto Sans CJK SC"/>
        <family val="2"/>
      </rPr>
      <t xml:space="preserve">｜</t>
    </r>
    <r>
      <rPr>
        <b val="true"/>
        <sz val="10.5"/>
        <color rgb="FFFFFFFF"/>
        <rFont val="Arial"/>
        <family val="0"/>
        <charset val="1"/>
      </rPr>
      <t xml:space="preserve">Import </t>
    </r>
    <r>
      <rPr>
        <b val="true"/>
        <sz val="10.5"/>
        <color rgb="FFFFFFFF"/>
        <rFont val="Noto Sans CJK SC"/>
        <family val="2"/>
      </rPr>
      <t xml:space="preserve">中信雲 </t>
    </r>
    <r>
      <rPr>
        <b val="true"/>
        <sz val="10.5"/>
        <color rgb="FFFFFFFF"/>
        <rFont val="Arial"/>
        <family val="0"/>
        <charset val="1"/>
      </rPr>
      <t xml:space="preserve">as a VI Workload Domain</t>
    </r>
    <r>
      <rPr>
        <b val="true"/>
        <sz val="10.5"/>
        <color rgb="FFFFFFFF"/>
        <rFont val="Noto Sans CJK SC"/>
        <family val="2"/>
      </rPr>
      <t xml:space="preserve">｜中信雲 匯入為 </t>
    </r>
    <r>
      <rPr>
        <b val="true"/>
        <sz val="10.5"/>
        <color rgb="FFFFFFFF"/>
        <rFont val="Arial"/>
        <family val="0"/>
        <charset val="1"/>
      </rPr>
      <t xml:space="preserve">VI Workload Domain</t>
    </r>
    <r>
      <rPr>
        <b val="true"/>
        <sz val="10.5"/>
        <color rgb="FFFFFFFF"/>
        <rFont val="Noto Sans CJK SC"/>
        <family val="2"/>
      </rPr>
      <t xml:space="preserve">（共用管理網域 </t>
    </r>
    <r>
      <rPr>
        <b val="true"/>
        <sz val="10.5"/>
        <color rgb="FFFFFFFF"/>
        <rFont val="Arial"/>
        <family val="0"/>
        <charset val="1"/>
      </rPr>
      <t xml:space="preserve">NSX 9.1.1</t>
    </r>
    <r>
      <rPr>
        <b val="true"/>
        <sz val="10.5"/>
        <color rgb="FFFFFFFF"/>
        <rFont val="Noto Sans CJK SC"/>
        <family val="2"/>
      </rPr>
      <t xml:space="preserve">）｜</t>
    </r>
    <r>
      <rPr>
        <b val="true"/>
        <sz val="10.5"/>
        <color rgb="FFFFFFFF"/>
        <rFont val="Arial"/>
        <family val="0"/>
        <charset val="1"/>
      </rPr>
      <t xml:space="preserve">G4 ⚠ PONR</t>
    </r>
    <r>
      <rPr>
        <b val="true"/>
        <sz val="10.5"/>
        <color rgb="FFFFFFFF"/>
        <rFont val="Noto Sans CJK SC"/>
        <family val="2"/>
      </rPr>
      <t xml:space="preserve">｜</t>
    </r>
    <r>
      <rPr>
        <b val="true"/>
        <sz val="10.5"/>
        <color rgb="FFFFFFFF"/>
        <rFont val="Arial"/>
        <family val="0"/>
        <charset val="1"/>
      </rPr>
      <t xml:space="preserve">Lab</t>
    </r>
    <r>
      <rPr>
        <b val="true"/>
        <sz val="10.5"/>
        <color rgb="FFFFFFFF"/>
        <rFont val="Noto Sans CJK SC"/>
        <family val="2"/>
      </rPr>
      <t xml:space="preserve">：約 </t>
    </r>
    <r>
      <rPr>
        <b val="true"/>
        <sz val="10.5"/>
        <color rgb="FFFFFFFF"/>
        <rFont val="Arial"/>
        <family val="0"/>
        <charset val="1"/>
      </rPr>
      <t xml:space="preserve">15 </t>
    </r>
    <r>
      <rPr>
        <b val="true"/>
        <sz val="10.5"/>
        <color rgb="FFFFFFFF"/>
        <rFont val="Noto Sans CJK SC"/>
        <family val="2"/>
      </rPr>
      <t xml:space="preserve">分（</t>
    </r>
    <r>
      <rPr>
        <b val="true"/>
        <sz val="10.5"/>
        <color rgb="FFFFFFFF"/>
        <rFont val="Arial"/>
        <family val="0"/>
        <charset val="1"/>
      </rPr>
      <t xml:space="preserve">57 subtasks</t>
    </r>
    <r>
      <rPr>
        <b val="true"/>
        <sz val="10.5"/>
        <color rgb="FFFFFFFF"/>
        <rFont val="Noto Sans CJK SC"/>
        <family val="2"/>
      </rPr>
      <t xml:space="preserve">）｜負責：</t>
    </r>
    <r>
      <rPr>
        <b val="true"/>
        <sz val="10.5"/>
        <color rgb="FFFFFFFF"/>
        <rFont val="Arial"/>
        <family val="0"/>
        <charset val="1"/>
      </rPr>
      <t xml:space="preserve">ARC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ENG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SYS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NET</t>
    </r>
  </si>
  <si>
    <t xml:space="preserve">S13-01</t>
  </si>
  <si>
    <t xml:space="preserve">S13-02</t>
  </si>
  <si>
    <t xml:space="preserve">S13-03</t>
  </si>
  <si>
    <t xml:space="preserve">S13-04</t>
  </si>
  <si>
    <t xml:space="preserve">S13-05</t>
  </si>
  <si>
    <t xml:space="preserve">S13-06</t>
  </si>
  <si>
    <t xml:space="preserve">S13-07</t>
  </si>
  <si>
    <t xml:space="preserve">S13-08</t>
  </si>
  <si>
    <t xml:space="preserve">S13-09</t>
  </si>
  <si>
    <r>
      <rPr>
        <b val="true"/>
        <sz val="9"/>
        <color rgb="FFFFFFFF"/>
        <rFont val="Arial"/>
        <family val="0"/>
        <charset val="1"/>
      </rPr>
      <t xml:space="preserve">#12</t>
    </r>
    <r>
      <rPr>
        <b val="true"/>
        <sz val="9"/>
        <color rgb="FFFFFFFF"/>
        <rFont val="Noto Sans CJK SC"/>
        <family val="2"/>
      </rPr>
      <t xml:space="preserve">（</t>
    </r>
    <r>
      <rPr>
        <b val="true"/>
        <sz val="9"/>
        <color rgb="FFFFFFFF"/>
        <rFont val="Arial"/>
        <family val="0"/>
        <charset val="1"/>
      </rPr>
      <t xml:space="preserve">ESXi</t>
    </r>
    <r>
      <rPr>
        <b val="true"/>
        <sz val="9"/>
        <color rgb="FFFFFFFF"/>
        <rFont val="Noto Sans CJK SC"/>
        <family val="2"/>
      </rPr>
      <t xml:space="preserve">）</t>
    </r>
  </si>
  <si>
    <r>
      <rPr>
        <b val="true"/>
        <sz val="10.5"/>
        <color rgb="FFFFFFFF"/>
        <rFont val="Arial"/>
        <family val="0"/>
        <charset val="1"/>
      </rPr>
      <t xml:space="preserve">S14</t>
    </r>
    <r>
      <rPr>
        <b val="true"/>
        <sz val="10.5"/>
        <color rgb="FFFFFFFF"/>
        <rFont val="Noto Sans CJK SC"/>
        <family val="2"/>
      </rPr>
      <t xml:space="preserve">｜中信雲 </t>
    </r>
    <r>
      <rPr>
        <b val="true"/>
        <sz val="10.5"/>
        <color rgb="FFFFFFFF"/>
        <rFont val="Arial"/>
        <family val="0"/>
        <charset val="1"/>
      </rPr>
      <t xml:space="preserve">ESXi 8.0.3 to 9.1.1 via VCF Lifecycle</t>
    </r>
    <r>
      <rPr>
        <b val="true"/>
        <sz val="10.5"/>
        <color rgb="FFFFFFFF"/>
        <rFont val="Noto Sans CJK SC"/>
        <family val="2"/>
      </rPr>
      <t xml:space="preserve">｜中信雲 </t>
    </r>
    <r>
      <rPr>
        <b val="true"/>
        <sz val="10.5"/>
        <color rgb="FFFFFFFF"/>
        <rFont val="Arial"/>
        <family val="0"/>
        <charset val="1"/>
      </rPr>
      <t xml:space="preserve">ESXi 8.0.3 → 9.1.1</t>
    </r>
    <r>
      <rPr>
        <b val="true"/>
        <sz val="10.5"/>
        <color rgb="FFFFFFFF"/>
        <rFont val="Noto Sans CJK SC"/>
        <family val="2"/>
      </rPr>
      <t xml:space="preserve">（</t>
    </r>
    <r>
      <rPr>
        <b val="true"/>
        <sz val="10.5"/>
        <color rgb="FFFFFFFF"/>
        <rFont val="Arial"/>
        <family val="0"/>
        <charset val="1"/>
      </rPr>
      <t xml:space="preserve">VCF LCM / vLCM image</t>
    </r>
    <r>
      <rPr>
        <b val="true"/>
        <sz val="10.5"/>
        <color rgb="FFFFFFFF"/>
        <rFont val="Noto Sans CJK SC"/>
        <family val="2"/>
      </rPr>
      <t xml:space="preserve">）｜負責：</t>
    </r>
    <r>
      <rPr>
        <b val="true"/>
        <sz val="10.5"/>
        <color rgb="FFFFFFFF"/>
        <rFont val="Arial"/>
        <family val="0"/>
        <charset val="1"/>
      </rPr>
      <t xml:space="preserve">ENG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SYS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DR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APP</t>
    </r>
  </si>
  <si>
    <r>
      <rPr>
        <sz val="10"/>
        <color rgb="FF222222"/>
        <rFont val="Arial"/>
        <family val="0"/>
        <charset val="1"/>
      </rPr>
      <t xml:space="preserve">#12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ESXi</t>
    </r>
    <r>
      <rPr>
        <sz val="10"/>
        <color rgb="FF222222"/>
        <rFont val="Noto Sans CJK SC"/>
        <family val="2"/>
      </rPr>
      <t xml:space="preserve">）</t>
    </r>
  </si>
  <si>
    <t xml:space="preserve">S14-01</t>
  </si>
  <si>
    <t xml:space="preserve">S14-02</t>
  </si>
  <si>
    <t xml:space="preserve">S14-03</t>
  </si>
  <si>
    <t xml:space="preserve">S14-04</t>
  </si>
  <si>
    <t xml:space="preserve">S14-05</t>
  </si>
  <si>
    <t xml:space="preserve">S14-06</t>
  </si>
  <si>
    <t xml:space="preserve">S14-07</t>
  </si>
  <si>
    <r>
      <rPr>
        <b val="true"/>
        <sz val="9"/>
        <color rgb="FFFFFFFF"/>
        <rFont val="Arial"/>
        <family val="0"/>
        <charset val="1"/>
      </rPr>
      <t xml:space="preserve">#2</t>
    </r>
    <r>
      <rPr>
        <b val="true"/>
        <sz val="9"/>
        <color rgb="FFFFFFFF"/>
        <rFont val="Noto Sans CJK SC"/>
        <family val="2"/>
      </rPr>
      <t xml:space="preserve">（移到最後）</t>
    </r>
  </si>
  <si>
    <r>
      <rPr>
        <b val="true"/>
        <sz val="10.5"/>
        <color rgb="FFFFFFFF"/>
        <rFont val="Arial"/>
        <family val="0"/>
        <charset val="1"/>
      </rPr>
      <t xml:space="preserve">S15</t>
    </r>
    <r>
      <rPr>
        <b val="true"/>
        <sz val="10.5"/>
        <color rgb="FFFFFFFF"/>
        <rFont val="Noto Sans CJK SC"/>
        <family val="2"/>
      </rPr>
      <t xml:space="preserve">｜</t>
    </r>
    <r>
      <rPr>
        <b val="true"/>
        <sz val="10.5"/>
        <color rgb="FFFFFFFF"/>
        <rFont val="Arial"/>
        <family val="0"/>
        <charset val="1"/>
      </rPr>
      <t xml:space="preserve">Upgrade vRO to VCF Operations orchestrator 9.1.1</t>
    </r>
    <r>
      <rPr>
        <b val="true"/>
        <sz val="10.5"/>
        <color rgb="FFFFFFFF"/>
        <rFont val="Noto Sans CJK SC"/>
        <family val="2"/>
      </rPr>
      <t xml:space="preserve">｜</t>
    </r>
    <r>
      <rPr>
        <b val="true"/>
        <sz val="10.5"/>
        <color rgb="FFFFFFFF"/>
        <rFont val="Arial"/>
        <family val="0"/>
        <charset val="1"/>
      </rPr>
      <t xml:space="preserve">vRO → VCF Operations orchestrator 9.1.1</t>
    </r>
    <r>
      <rPr>
        <b val="true"/>
        <sz val="10.5"/>
        <color rgb="FFFFFFFF"/>
        <rFont val="Noto Sans CJK SC"/>
        <family val="2"/>
      </rPr>
      <t xml:space="preserve">（</t>
    </r>
    <r>
      <rPr>
        <b val="true"/>
        <sz val="10.5"/>
        <color rgb="FFFFFFFF"/>
        <rFont val="Arial"/>
        <family val="0"/>
        <charset val="1"/>
      </rPr>
      <t xml:space="preserve">VCFA </t>
    </r>
    <r>
      <rPr>
        <b val="true"/>
        <sz val="10.5"/>
        <color rgb="FFFFFFFF"/>
        <rFont val="Noto Sans CJK SC"/>
        <family val="2"/>
      </rPr>
      <t xml:space="preserve">之後）｜負責：</t>
    </r>
    <r>
      <rPr>
        <b val="true"/>
        <sz val="10.5"/>
        <color rgb="FFFFFFFF"/>
        <rFont val="Arial"/>
        <family val="0"/>
        <charset val="1"/>
      </rPr>
      <t xml:space="preserve">AUTO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ENG</t>
    </r>
  </si>
  <si>
    <r>
      <rPr>
        <sz val="10"/>
        <color rgb="FF222222"/>
        <rFont val="Arial"/>
        <family val="0"/>
        <charset val="1"/>
      </rPr>
      <t xml:space="preserve">#2</t>
    </r>
    <r>
      <rPr>
        <sz val="10"/>
        <color rgb="FF222222"/>
        <rFont val="Noto Sans CJK SC"/>
        <family val="2"/>
      </rPr>
      <t xml:space="preserve">（移到最後）</t>
    </r>
  </si>
  <si>
    <t xml:space="preserve">S15-01</t>
  </si>
  <si>
    <r>
      <rPr>
        <sz val="10"/>
        <color rgb="FF222222"/>
        <rFont val="Noto Sans CJK SC"/>
        <family val="2"/>
      </rPr>
      <t xml:space="preserve">順序：</t>
    </r>
    <r>
      <rPr>
        <sz val="10"/>
        <color rgb="FF222222"/>
        <rFont val="Arial"/>
        <family val="0"/>
        <charset val="1"/>
      </rPr>
      <t xml:space="preserve">VCFA 9.1.1 </t>
    </r>
    <r>
      <rPr>
        <sz val="10"/>
        <color rgb="FF222222"/>
        <rFont val="Noto Sans CJK SC"/>
        <family val="2"/>
      </rPr>
      <t xml:space="preserve">完成後才升 </t>
    </r>
    <r>
      <rPr>
        <sz val="10"/>
        <color rgb="FF222222"/>
        <rFont val="Arial"/>
        <family val="0"/>
        <charset val="1"/>
      </rPr>
      <t xml:space="preserve">external vRO</t>
    </r>
    <r>
      <rPr>
        <sz val="10"/>
        <color rgb="FF222222"/>
        <rFont val="Noto Sans CJK SC"/>
        <family val="2"/>
      </rPr>
      <t xml:space="preserve">（官方明文）；並建議在兩朵雲 </t>
    </r>
    <r>
      <rPr>
        <sz val="10"/>
        <color rgb="FF222222"/>
        <rFont val="Arial"/>
        <family val="0"/>
        <charset val="1"/>
      </rPr>
      <t xml:space="preserve">vCenter </t>
    </r>
    <r>
      <rPr>
        <sz val="10"/>
        <color rgb="FF222222"/>
        <rFont val="Noto Sans CJK SC"/>
        <family val="2"/>
      </rPr>
      <t xml:space="preserve">都 </t>
    </r>
    <r>
      <rPr>
        <sz val="10"/>
        <color rgb="FF222222"/>
        <rFont val="Arial"/>
        <family val="0"/>
        <charset val="1"/>
      </rPr>
      <t xml:space="preserve">9.1.1 </t>
    </r>
    <r>
      <rPr>
        <sz val="10"/>
        <color rgb="FF222222"/>
        <rFont val="Noto Sans CJK SC"/>
        <family val="2"/>
      </rPr>
      <t xml:space="preserve">之後（</t>
    </r>
    <r>
      <rPr>
        <sz val="10"/>
        <color rgb="FF222222"/>
        <rFont val="Arial"/>
        <family val="0"/>
        <charset val="1"/>
      </rPr>
      <t xml:space="preserve">Interop</t>
    </r>
    <r>
      <rPr>
        <sz val="10"/>
        <color rgb="FF222222"/>
        <rFont val="Noto Sans CJK SC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vRO 9.1.1 </t>
    </r>
    <r>
      <rPr>
        <sz val="10"/>
        <color rgb="FF222222"/>
        <rFont val="Noto Sans CJK SC"/>
        <family val="2"/>
      </rPr>
      <t xml:space="preserve">對 </t>
    </r>
    <r>
      <rPr>
        <sz val="10"/>
        <color rgb="FF222222"/>
        <rFont val="Arial"/>
        <family val="0"/>
        <charset val="1"/>
      </rPr>
      <t xml:space="preserve">vCenter 8.0U3 </t>
    </r>
    <r>
      <rPr>
        <sz val="10"/>
        <color rgb="FF222222"/>
        <rFont val="Noto Sans CJK SC"/>
        <family val="2"/>
      </rPr>
      <t xml:space="preserve">標示 </t>
    </r>
    <r>
      <rPr>
        <sz val="10"/>
        <color rgb="FF222222"/>
        <rFont val="Arial"/>
        <family val="0"/>
        <charset val="1"/>
      </rPr>
      <t xml:space="preserve">Not Supported</t>
    </r>
    <r>
      <rPr>
        <sz val="10"/>
        <color rgb="FF222222"/>
        <rFont val="Noto Sans CJK SC"/>
        <family val="2"/>
      </rPr>
      <t xml:space="preserve">）</t>
    </r>
  </si>
  <si>
    <r>
      <rPr>
        <sz val="9.5"/>
        <color rgb="FF222222"/>
        <rFont val="Arial"/>
        <family val="0"/>
        <charset val="1"/>
      </rPr>
      <t xml:space="preserve">TechDocs: Configure VCF Operations Orchestrator for VCF Automation VM Apps Organizations</t>
    </r>
    <r>
      <rPr>
        <sz val="9.5"/>
        <color rgb="FF222222"/>
        <rFont val="Noto Sans CJK SC"/>
        <family val="2"/>
      </rPr>
      <t xml:space="preserve">；</t>
    </r>
    <r>
      <rPr>
        <sz val="9.5"/>
        <color rgb="FF222222"/>
        <rFont val="Arial"/>
        <family val="0"/>
        <charset val="1"/>
      </rPr>
      <t xml:space="preserve">Interop Matrix</t>
    </r>
  </si>
  <si>
    <t xml:space="preserve">S15-02</t>
  </si>
  <si>
    <r>
      <rPr>
        <sz val="10"/>
        <color rgb="FF222222"/>
        <rFont val="Noto Sans CJK SC"/>
        <family val="2"/>
      </rPr>
      <t xml:space="preserve">來源 ≥ </t>
    </r>
    <r>
      <rPr>
        <sz val="10"/>
        <color rgb="FF222222"/>
        <rFont val="Arial"/>
        <family val="0"/>
        <charset val="1"/>
      </rPr>
      <t xml:space="preserve">8.18.1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9.1.1 ISO </t>
    </r>
    <r>
      <rPr>
        <sz val="10"/>
        <color rgb="FF222222"/>
        <rFont val="Noto Sans CJK SC"/>
        <family val="2"/>
      </rPr>
      <t xml:space="preserve">備妥</t>
    </r>
  </si>
  <si>
    <t xml:space="preserve">vracli version</t>
  </si>
  <si>
    <t xml:space="preserve">S15-03</t>
  </si>
  <si>
    <r>
      <rPr>
        <sz val="10"/>
        <color rgb="FF222222"/>
        <rFont val="Noto Sans CJK SC"/>
        <family val="2"/>
      </rPr>
      <t xml:space="preserve">匯出自訂 </t>
    </r>
    <r>
      <rPr>
        <sz val="10"/>
        <color rgb="FF222222"/>
        <rFont val="Arial"/>
        <family val="0"/>
        <charset val="1"/>
      </rPr>
      <t xml:space="preserve">packages / workflows / configurations</t>
    </r>
    <r>
      <rPr>
        <sz val="10"/>
        <color rgb="FF222222"/>
        <rFont val="Noto Sans CJK SC"/>
        <family val="2"/>
      </rPr>
      <t xml:space="preserve">；記錄 </t>
    </r>
    <r>
      <rPr>
        <sz val="10"/>
        <color rgb="FF222222"/>
        <rFont val="Arial"/>
        <family val="0"/>
        <charset val="1"/>
      </rPr>
      <t xml:space="preserve">plugin </t>
    </r>
    <r>
      <rPr>
        <sz val="10"/>
        <color rgb="FF222222"/>
        <rFont val="Noto Sans CJK SC"/>
        <family val="2"/>
      </rPr>
      <t xml:space="preserve">與 </t>
    </r>
    <r>
      <rPr>
        <sz val="10"/>
        <color rgb="FF222222"/>
        <rFont val="Arial"/>
        <family val="0"/>
        <charset val="1"/>
      </rPr>
      <t xml:space="preserve">endpoints</t>
    </r>
  </si>
  <si>
    <t xml:space="preserve">vRO Client &gt; Packages &gt; Export</t>
  </si>
  <si>
    <t xml:space="preserve">已匯出</t>
  </si>
  <si>
    <t xml:space="preserve">S15-04</t>
  </si>
  <si>
    <r>
      <rPr>
        <sz val="10"/>
        <color rgb="FF222222"/>
        <rFont val="Noto Sans CJK SC"/>
        <family val="2"/>
      </rPr>
      <t xml:space="preserve">關機 </t>
    </r>
    <r>
      <rPr>
        <sz val="10"/>
        <color rgb="FF222222"/>
        <rFont val="Arial"/>
        <family val="0"/>
        <charset val="1"/>
      </rPr>
      <t xml:space="preserve">snapshot</t>
    </r>
    <r>
      <rPr>
        <sz val="10"/>
        <color rgb="FF222222"/>
        <rFont val="Noto Sans CJK SC"/>
        <family val="2"/>
      </rPr>
      <t xml:space="preserve">（不支援含 </t>
    </r>
    <r>
      <rPr>
        <sz val="10"/>
        <color rgb="FF222222"/>
        <rFont val="Arial"/>
        <family val="0"/>
        <charset val="1"/>
      </rPr>
      <t xml:space="preserve">memory </t>
    </r>
    <r>
      <rPr>
        <sz val="10"/>
        <color rgb="FF222222"/>
        <rFont val="Noto Sans CJK SC"/>
        <family val="2"/>
      </rPr>
      <t xml:space="preserve">的 </t>
    </r>
    <r>
      <rPr>
        <sz val="10"/>
        <color rgb="FF222222"/>
        <rFont val="Arial"/>
        <family val="0"/>
        <charset val="1"/>
      </rPr>
      <t xml:space="preserve">snapshot</t>
    </r>
    <r>
      <rPr>
        <sz val="10"/>
        <color rgb="FF222222"/>
        <rFont val="Noto Sans CJK SC"/>
        <family val="2"/>
      </rPr>
      <t xml:space="preserve">）</t>
    </r>
  </si>
  <si>
    <t xml:space="preserve">S15-05</t>
  </si>
  <si>
    <r>
      <rPr>
        <sz val="10"/>
        <color rgb="FF222222"/>
        <rFont val="Arial"/>
        <family val="0"/>
        <charset val="1"/>
      </rPr>
      <t xml:space="preserve">vSphere authentication</t>
    </r>
    <r>
      <rPr>
        <sz val="10"/>
        <color rgb="FF222222"/>
        <rFont val="Noto Sans CJK SC"/>
        <family val="2"/>
      </rPr>
      <t xml:space="preserve">：需當初註冊 </t>
    </r>
    <r>
      <rPr>
        <sz val="10"/>
        <color rgb="FF222222"/>
        <rFont val="Arial"/>
        <family val="0"/>
        <charset val="1"/>
      </rPr>
      <t xml:space="preserve">SSO </t>
    </r>
    <r>
      <rPr>
        <sz val="10"/>
        <color rgb="FF222222"/>
        <rFont val="Noto Sans CJK SC"/>
        <family val="2"/>
      </rPr>
      <t xml:space="preserve">的帳號憑證（以環境變數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CJK SC"/>
        <family val="2"/>
      </rPr>
      <t xml:space="preserve">保管工具提供，不落地明文）</t>
    </r>
  </si>
  <si>
    <t xml:space="preserve">S15-06</t>
  </si>
  <si>
    <r>
      <rPr>
        <sz val="10"/>
        <color rgb="FF222222"/>
        <rFont val="Noto Sans CJK SC"/>
        <family val="2"/>
      </rPr>
      <t xml:space="preserve">掛載 </t>
    </r>
    <r>
      <rPr>
        <sz val="10"/>
        <color rgb="FF222222"/>
        <rFont val="Arial"/>
        <family val="0"/>
        <charset val="1"/>
      </rPr>
      <t xml:space="preserve">9.1.1 ISO → </t>
    </r>
    <r>
      <rPr>
        <sz val="10"/>
        <color rgb="FF222222"/>
        <rFont val="Noto Sans CJK SC"/>
        <family val="2"/>
      </rPr>
      <t xml:space="preserve">執行升級</t>
    </r>
  </si>
  <si>
    <t xml:space="preserve">vracli upgrade exec -y --repo cdrom://</t>
  </si>
  <si>
    <t xml:space="preserve">Upgrade completed</t>
  </si>
  <si>
    <t xml:space="preserve">S15-07</t>
  </si>
  <si>
    <r>
      <rPr>
        <sz val="10"/>
        <color rgb="FF222222"/>
        <rFont val="Noto Sans CJK SC"/>
        <family val="2"/>
      </rPr>
      <t xml:space="preserve">需整合 </t>
    </r>
    <r>
      <rPr>
        <sz val="10"/>
        <color rgb="FF222222"/>
        <rFont val="Arial"/>
        <family val="0"/>
        <charset val="1"/>
      </rPr>
      <t xml:space="preserve">VCFA VM Apps organization </t>
    </r>
    <r>
      <rPr>
        <sz val="10"/>
        <color rgb="FF222222"/>
        <rFont val="Noto Sans CJK SC"/>
        <family val="2"/>
      </rPr>
      <t xml:space="preserve">時，驗證改指向 </t>
    </r>
    <r>
      <rPr>
        <sz val="10"/>
        <color rgb="FF222222"/>
        <rFont val="Arial"/>
        <family val="0"/>
        <charset val="1"/>
      </rPr>
      <t xml:space="preserve">VCFA</t>
    </r>
  </si>
  <si>
    <t xml:space="preserve">vracli vro authentication set -p tm … --tenant &lt;org&gt;</t>
  </si>
  <si>
    <t xml:space="preserve">TechDocs: Configure VCF Operations Orchestrator for VCF Automation VM Apps Organizations</t>
  </si>
  <si>
    <t xml:space="preserve">S15-08</t>
  </si>
  <si>
    <r>
      <rPr>
        <sz val="10"/>
        <color rgb="FF222222"/>
        <rFont val="Noto Sans CJK SC"/>
        <family val="2"/>
      </rPr>
      <t xml:space="preserve">版本 </t>
    </r>
    <r>
      <rPr>
        <sz val="10"/>
        <color rgb="FF222222"/>
        <rFont val="Arial"/>
        <family val="0"/>
        <charset val="1"/>
      </rPr>
      <t xml:space="preserve">9.1.1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Control Center </t>
    </r>
    <r>
      <rPr>
        <sz val="10"/>
        <color rgb="FF222222"/>
        <rFont val="Noto Sans CJK SC"/>
        <family val="2"/>
      </rPr>
      <t xml:space="preserve">正常；關鍵 </t>
    </r>
    <r>
      <rPr>
        <sz val="10"/>
        <color rgb="FF222222"/>
        <rFont val="Arial"/>
        <family val="0"/>
        <charset val="1"/>
      </rPr>
      <t xml:space="preserve">workflow </t>
    </r>
    <r>
      <rPr>
        <sz val="10"/>
        <color rgb="FF222222"/>
        <rFont val="Noto Sans CJK SC"/>
        <family val="2"/>
      </rPr>
      <t xml:space="preserve">執行成功；</t>
    </r>
    <r>
      <rPr>
        <sz val="10"/>
        <color rgb="FF222222"/>
        <rFont val="Arial"/>
        <family val="0"/>
        <charset val="1"/>
      </rPr>
      <t xml:space="preserve">VCFA </t>
    </r>
    <r>
      <rPr>
        <sz val="10"/>
        <color rgb="FF222222"/>
        <rFont val="Noto Sans CJK SC"/>
        <family val="2"/>
      </rPr>
      <t xml:space="preserve">呼叫 </t>
    </r>
    <r>
      <rPr>
        <sz val="10"/>
        <color rgb="FF222222"/>
        <rFont val="Arial"/>
        <family val="0"/>
        <charset val="1"/>
      </rPr>
      <t xml:space="preserve">vRO </t>
    </r>
    <r>
      <rPr>
        <sz val="10"/>
        <color rgb="FF222222"/>
        <rFont val="Noto Sans CJK SC"/>
        <family val="2"/>
      </rPr>
      <t xml:space="preserve">正常</t>
    </r>
  </si>
  <si>
    <t xml:space="preserve">S15-09</t>
  </si>
  <si>
    <r>
      <rPr>
        <sz val="10"/>
        <color rgb="FF222222"/>
        <rFont val="Arial"/>
        <family val="0"/>
        <charset val="1"/>
      </rPr>
      <t xml:space="preserve">Revert </t>
    </r>
    <r>
      <rPr>
        <sz val="10"/>
        <color rgb="FF222222"/>
        <rFont val="Noto Sans CJK SC"/>
        <family val="2"/>
      </rPr>
      <t xml:space="preserve">升級前 </t>
    </r>
    <r>
      <rPr>
        <sz val="10"/>
        <color rgb="FF222222"/>
        <rFont val="Arial"/>
        <family val="0"/>
        <charset val="1"/>
      </rPr>
      <t xml:space="preserve">snapshot</t>
    </r>
  </si>
  <si>
    <r>
      <rPr>
        <b val="true"/>
        <sz val="10.5"/>
        <color rgb="FFFFFFFF"/>
        <rFont val="Arial"/>
        <family val="0"/>
        <charset val="1"/>
      </rPr>
      <t xml:space="preserve">S16</t>
    </r>
    <r>
      <rPr>
        <b val="true"/>
        <sz val="10.5"/>
        <color rgb="FFFFFFFF"/>
        <rFont val="Noto Sans CJK SC"/>
        <family val="2"/>
      </rPr>
      <t xml:space="preserve">｜</t>
    </r>
    <r>
      <rPr>
        <b val="true"/>
        <sz val="10.5"/>
        <color rgb="FFFFFFFF"/>
        <rFont val="Arial"/>
        <family val="0"/>
        <charset val="1"/>
      </rPr>
      <t xml:space="preserve">Observation, vSAN Format &amp; Close-out</t>
    </r>
    <r>
      <rPr>
        <b val="true"/>
        <sz val="10.5"/>
        <color rgb="FFFFFFFF"/>
        <rFont val="Noto Sans CJK SC"/>
        <family val="2"/>
      </rPr>
      <t xml:space="preserve">｜觀察期、</t>
    </r>
    <r>
      <rPr>
        <b val="true"/>
        <sz val="10.5"/>
        <color rgb="FFFFFFFF"/>
        <rFont val="Arial"/>
        <family val="0"/>
        <charset val="1"/>
      </rPr>
      <t xml:space="preserve">vSAN on-disk format </t>
    </r>
    <r>
      <rPr>
        <b val="true"/>
        <sz val="10.5"/>
        <color rgb="FFFFFFFF"/>
        <rFont val="Noto Sans CJK SC"/>
        <family val="2"/>
      </rPr>
      <t xml:space="preserve">與收尾｜</t>
    </r>
    <r>
      <rPr>
        <b val="true"/>
        <sz val="10.5"/>
        <color rgb="FFFFFFFF"/>
        <rFont val="Arial"/>
        <family val="0"/>
        <charset val="1"/>
      </rPr>
      <t xml:space="preserve">G5 ⚠ PONR</t>
    </r>
    <r>
      <rPr>
        <b val="true"/>
        <sz val="10.5"/>
        <color rgb="FFFFFFFF"/>
        <rFont val="Noto Sans CJK SC"/>
        <family val="2"/>
      </rPr>
      <t xml:space="preserve">｜負責：</t>
    </r>
    <r>
      <rPr>
        <b val="true"/>
        <sz val="10.5"/>
        <color rgb="FFFFFFFF"/>
        <rFont val="Arial"/>
        <family val="0"/>
        <charset val="1"/>
      </rPr>
      <t xml:space="preserve">PM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ARC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ENG</t>
    </r>
    <r>
      <rPr>
        <b val="true"/>
        <sz val="10.5"/>
        <color rgb="FFFFFFFF"/>
        <rFont val="Noto Sans CJK SC"/>
        <family val="2"/>
      </rPr>
      <t xml:space="preserve">、</t>
    </r>
    <r>
      <rPr>
        <b val="true"/>
        <sz val="10.5"/>
        <color rgb="FFFFFFFF"/>
        <rFont val="Arial"/>
        <family val="0"/>
        <charset val="1"/>
      </rPr>
      <t xml:space="preserve">SYS</t>
    </r>
  </si>
  <si>
    <t xml:space="preserve">S16-01</t>
  </si>
  <si>
    <r>
      <rPr>
        <sz val="10"/>
        <color rgb="FF222222"/>
        <rFont val="Noto Sans CJK SC"/>
        <family val="2"/>
      </rPr>
      <t xml:space="preserve">觀察期無重大事件；客戶簽核 </t>
    </r>
    <r>
      <rPr>
        <sz val="10"/>
        <color rgb="FF222222"/>
        <rFont val="Arial"/>
        <family val="0"/>
        <charset val="1"/>
      </rPr>
      <t xml:space="preserve">G5</t>
    </r>
  </si>
  <si>
    <t xml:space="preserve">簽核</t>
  </si>
  <si>
    <t xml:space="preserve">S16-02</t>
  </si>
  <si>
    <r>
      <rPr>
        <sz val="10"/>
        <color rgb="FF222222"/>
        <rFont val="Arial"/>
        <family val="0"/>
        <charset val="1"/>
      </rPr>
      <t xml:space="preserve">vSAN on-disk format </t>
    </r>
    <r>
      <rPr>
        <sz val="10"/>
        <color rgb="FF222222"/>
        <rFont val="Noto Sans CJK SC"/>
        <family val="2"/>
      </rPr>
      <t xml:space="preserve">升級（三個叢集；之後主機軟體無法退版）</t>
    </r>
  </si>
  <si>
    <t xml:space="preserve">Cluster &gt; vSAN &gt; Disk Management &gt; Upgrade</t>
  </si>
  <si>
    <t xml:space="preserve">S16-03</t>
  </si>
  <si>
    <r>
      <rPr>
        <sz val="10"/>
        <color rgb="FF222222"/>
        <rFont val="Arial"/>
        <family val="0"/>
        <charset val="1"/>
      </rPr>
      <t xml:space="preserve">VDS </t>
    </r>
    <r>
      <rPr>
        <sz val="10"/>
        <color rgb="FF222222"/>
        <rFont val="Noto Sans CJK SC"/>
        <family val="2"/>
      </rPr>
      <t xml:space="preserve">升級（選擇性）；刪除各階段 </t>
    </r>
    <r>
      <rPr>
        <sz val="10"/>
        <color rgb="FF222222"/>
        <rFont val="Arial"/>
        <family val="0"/>
        <charset val="1"/>
      </rPr>
      <t xml:space="preserve">snapshot</t>
    </r>
    <r>
      <rPr>
        <sz val="10"/>
        <color rgb="FF222222"/>
        <rFont val="Noto Sans CJK SC"/>
        <family val="2"/>
      </rPr>
      <t xml:space="preserve">；移除已退役的 </t>
    </r>
    <r>
      <rPr>
        <sz val="10"/>
        <color rgb="FF222222"/>
        <rFont val="Arial"/>
        <family val="0"/>
        <charset val="1"/>
      </rPr>
      <t xml:space="preserve">vCenter </t>
    </r>
    <r>
      <rPr>
        <sz val="10"/>
        <color rgb="FF222222"/>
        <rFont val="Noto Sans CJK SC"/>
        <family val="2"/>
      </rPr>
      <t xml:space="preserve">來源 </t>
    </r>
    <r>
      <rPr>
        <sz val="10"/>
        <color rgb="FF222222"/>
        <rFont val="Arial"/>
        <family val="0"/>
        <charset val="1"/>
      </rPr>
      <t xml:space="preserve">VM</t>
    </r>
  </si>
  <si>
    <t xml:space="preserve">S16-04</t>
  </si>
  <si>
    <r>
      <rPr>
        <sz val="10"/>
        <color rgb="FF222222"/>
        <rFont val="Arial"/>
        <family val="0"/>
        <charset val="1"/>
      </rPr>
      <t xml:space="preserve">vIDM → VCF Identity Broker </t>
    </r>
    <r>
      <rPr>
        <sz val="10"/>
        <color rgb="FF222222"/>
        <rFont val="Noto Sans CJK SC"/>
        <family val="2"/>
      </rPr>
      <t xml:space="preserve">遷移另案規劃；完成前保留 </t>
    </r>
    <r>
      <rPr>
        <sz val="10"/>
        <color rgb="FF222222"/>
        <rFont val="Arial"/>
        <family val="0"/>
        <charset val="1"/>
      </rPr>
      <t xml:space="preserve">vIDM </t>
    </r>
    <r>
      <rPr>
        <sz val="10"/>
        <color rgb="FF222222"/>
        <rFont val="Noto Sans CJK SC"/>
        <family val="2"/>
      </rPr>
      <t xml:space="preserve">與 </t>
    </r>
    <r>
      <rPr>
        <sz val="10"/>
        <color rgb="FF222222"/>
        <rFont val="Arial"/>
        <family val="0"/>
        <charset val="1"/>
      </rPr>
      <t xml:space="preserve">Aria Suite Lifecycle 8.x</t>
    </r>
  </si>
  <si>
    <t xml:space="preserve">TechDocs: Migrate VCF Automation SSO from vIDM to VCF Identity Broker</t>
  </si>
  <si>
    <t xml:space="preserve">S16-05</t>
  </si>
  <si>
    <r>
      <rPr>
        <sz val="10"/>
        <color rgb="FF222222"/>
        <rFont val="Noto Sans CJK SC"/>
        <family val="2"/>
      </rPr>
      <t xml:space="preserve">授權、密碼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CJK SC"/>
        <family val="2"/>
      </rPr>
      <t xml:space="preserve">憑證到期監控、</t>
    </r>
    <r>
      <rPr>
        <sz val="10"/>
        <color rgb="FF222222"/>
        <rFont val="Arial"/>
        <family val="0"/>
        <charset val="1"/>
      </rPr>
      <t xml:space="preserve">SFTP </t>
    </r>
    <r>
      <rPr>
        <sz val="10"/>
        <color rgb="FF222222"/>
        <rFont val="Noto Sans CJK SC"/>
        <family val="2"/>
      </rPr>
      <t xml:space="preserve">備份排程正常；</t>
    </r>
    <r>
      <rPr>
        <sz val="10"/>
        <color rgb="FF222222"/>
        <rFont val="Arial"/>
        <family val="0"/>
        <charset val="1"/>
      </rPr>
      <t xml:space="preserve">As-Built </t>
    </r>
    <r>
      <rPr>
        <sz val="10"/>
        <color rgb="FF222222"/>
        <rFont val="Noto Sans CJK SC"/>
        <family val="2"/>
      </rPr>
      <t xml:space="preserve">與升級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CJK SC"/>
        <family val="2"/>
      </rPr>
      <t xml:space="preserve">退版測試報告</t>
    </r>
  </si>
  <si>
    <t xml:space="preserve">交付</t>
  </si>
  <si>
    <t xml:space="preserve">S16-06</t>
  </si>
  <si>
    <r>
      <rPr>
        <b val="true"/>
        <sz val="10"/>
        <color rgb="FFA6192E"/>
        <rFont val="Arial"/>
        <family val="0"/>
        <charset val="1"/>
      </rPr>
      <t xml:space="preserve">vSAN format </t>
    </r>
    <r>
      <rPr>
        <b val="true"/>
        <sz val="10"/>
        <color rgb="FFA6192E"/>
        <rFont val="Noto Sans CJK SC"/>
        <family val="2"/>
      </rPr>
      <t xml:space="preserve">升級後無退版手段 → </t>
    </r>
    <r>
      <rPr>
        <b val="true"/>
        <sz val="10"/>
        <color rgb="FFA6192E"/>
        <rFont val="Arial"/>
        <family val="0"/>
        <charset val="1"/>
      </rPr>
      <t xml:space="preserve">PONR</t>
    </r>
  </si>
  <si>
    <r>
      <rPr>
        <b val="true"/>
        <sz val="14"/>
        <color rgb="FF1B1D36"/>
        <rFont val="Noto Sans CJK SC"/>
        <family val="2"/>
      </rPr>
      <t xml:space="preserve">原暫定計畫 </t>
    </r>
    <r>
      <rPr>
        <b val="true"/>
        <sz val="14"/>
        <color rgb="FF1B1D36"/>
        <rFont val="Arial"/>
        <family val="0"/>
        <charset val="1"/>
      </rPr>
      <t xml:space="preserve">13 </t>
    </r>
    <r>
      <rPr>
        <b val="true"/>
        <sz val="14"/>
        <color rgb="FF1B1D36"/>
        <rFont val="Noto Sans CJK SC"/>
        <family val="2"/>
      </rPr>
      <t xml:space="preserve">步 → 建議步驟對照</t>
    </r>
  </si>
  <si>
    <r>
      <rPr>
        <sz val="9"/>
        <color rgb="FF717074"/>
        <rFont val="Noto Sans CJK SC"/>
        <family val="2"/>
      </rPr>
      <t xml:space="preserve">判定：照做 </t>
    </r>
    <r>
      <rPr>
        <sz val="9"/>
        <color rgb="FF717074"/>
        <rFont val="Arial"/>
        <family val="0"/>
        <charset val="1"/>
      </rPr>
      <t xml:space="preserve">/ </t>
    </r>
    <r>
      <rPr>
        <sz val="9"/>
        <color rgb="FF717074"/>
        <rFont val="Noto Sans CJK SC"/>
        <family val="2"/>
      </rPr>
      <t xml:space="preserve">調整 </t>
    </r>
    <r>
      <rPr>
        <sz val="9"/>
        <color rgb="FF717074"/>
        <rFont val="Arial"/>
        <family val="0"/>
        <charset val="1"/>
      </rPr>
      <t xml:space="preserve">/ </t>
    </r>
    <r>
      <rPr>
        <sz val="9"/>
        <color rgb="FF717074"/>
        <rFont val="Noto Sans CJK SC"/>
        <family val="2"/>
      </rPr>
      <t xml:space="preserve">移到最後 </t>
    </r>
    <r>
      <rPr>
        <sz val="9"/>
        <color rgb="FF717074"/>
        <rFont val="Arial"/>
        <family val="0"/>
        <charset val="1"/>
      </rPr>
      <t xml:space="preserve">/ </t>
    </r>
    <r>
      <rPr>
        <sz val="9"/>
        <color rgb="FF717074"/>
        <rFont val="Noto Sans CJK SC"/>
        <family val="2"/>
      </rPr>
      <t xml:space="preserve">建議架 </t>
    </r>
    <r>
      <rPr>
        <sz val="9"/>
        <color rgb="FF717074"/>
        <rFont val="Arial"/>
        <family val="0"/>
        <charset val="1"/>
      </rPr>
      <t xml:space="preserve">/ </t>
    </r>
    <r>
      <rPr>
        <sz val="9"/>
        <color rgb="FF717074"/>
        <rFont val="Noto Sans CJK SC"/>
        <family val="2"/>
      </rPr>
      <t xml:space="preserve">拆兩段</t>
    </r>
  </si>
  <si>
    <r>
      <rPr>
        <b val="true"/>
        <sz val="10"/>
        <color rgb="FFFFFFFF"/>
        <rFont val="Noto Sans CJK SC"/>
        <family val="2"/>
      </rPr>
      <t xml:space="preserve">原 </t>
    </r>
    <r>
      <rPr>
        <b val="true"/>
        <sz val="10"/>
        <color rgb="FFFFFFFF"/>
        <rFont val="Arial"/>
        <family val="0"/>
        <charset val="1"/>
      </rPr>
      <t xml:space="preserve">#</t>
    </r>
  </si>
  <si>
    <t xml:space="preserve">原步驟</t>
  </si>
  <si>
    <t xml:space="preserve">判定</t>
  </si>
  <si>
    <t xml:space="preserve">說明</t>
  </si>
  <si>
    <t xml:space="preserve">建議步驟</t>
  </si>
  <si>
    <t xml:space="preserve">1</t>
  </si>
  <si>
    <r>
      <rPr>
        <sz val="10"/>
        <color rgb="FF222222"/>
        <rFont val="Arial"/>
        <family val="0"/>
        <charset val="1"/>
      </rPr>
      <t xml:space="preserve">vMotion vRO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vRA to Management Cluster</t>
    </r>
  </si>
  <si>
    <t xml:space="preserve">調整</t>
  </si>
  <si>
    <r>
      <rPr>
        <sz val="10"/>
        <color rgb="FF222222"/>
        <rFont val="Noto Sans CJK SC"/>
        <family val="2"/>
      </rPr>
      <t xml:space="preserve">改為冷遷移；目標 </t>
    </r>
    <r>
      <rPr>
        <sz val="10"/>
        <color rgb="FF222222"/>
        <rFont val="Arial"/>
        <family val="0"/>
        <charset val="1"/>
      </rPr>
      <t xml:space="preserve">port group </t>
    </r>
    <r>
      <rPr>
        <sz val="10"/>
        <color rgb="FF222222"/>
        <rFont val="Noto Sans CJK SC"/>
        <family val="2"/>
      </rPr>
      <t xml:space="preserve">與 </t>
    </r>
    <r>
      <rPr>
        <sz val="10"/>
        <color rgb="FF222222"/>
        <rFont val="Arial"/>
        <family val="0"/>
        <charset val="1"/>
      </rPr>
      <t xml:space="preserve">vRA </t>
    </r>
    <r>
      <rPr>
        <sz val="10"/>
        <color rgb="FF222222"/>
        <rFont val="Noto Sans CJK SC"/>
        <family val="2"/>
      </rPr>
      <t xml:space="preserve">同一 </t>
    </r>
    <r>
      <rPr>
        <sz val="10"/>
        <color rgb="FF222222"/>
        <rFont val="Arial"/>
        <family val="0"/>
        <charset val="1"/>
      </rPr>
      <t xml:space="preserve">L2 </t>
    </r>
    <r>
      <rPr>
        <sz val="10"/>
        <color rgb="FF222222"/>
        <rFont val="Noto Sans CJK SC"/>
        <family val="2"/>
      </rPr>
      <t xml:space="preserve">網段（</t>
    </r>
    <r>
      <rPr>
        <sz val="10"/>
        <color rgb="FF222222"/>
        <rFont val="Arial"/>
        <family val="0"/>
        <charset val="1"/>
      </rPr>
      <t xml:space="preserve">IP / FQDN </t>
    </r>
    <r>
      <rPr>
        <sz val="10"/>
        <color rgb="FF222222"/>
        <rFont val="Noto Sans CJK SC"/>
        <family val="2"/>
      </rPr>
      <t xml:space="preserve">不變）</t>
    </r>
  </si>
  <si>
    <r>
      <rPr>
        <sz val="10"/>
        <color rgb="FF222222"/>
        <rFont val="Arial"/>
        <family val="0"/>
        <charset val="1"/>
      </rPr>
      <t xml:space="preserve">KB 318582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Import Aria Automation </t>
    </r>
    <r>
      <rPr>
        <sz val="10"/>
        <color rgb="FF222222"/>
        <rFont val="Noto Sans CJK SC"/>
        <family val="2"/>
      </rPr>
      <t xml:space="preserve">前置</t>
    </r>
  </si>
  <si>
    <t xml:space="preserve">2</t>
  </si>
  <si>
    <t xml:space="preserve">Upgrade vRO to 9.1.1</t>
  </si>
  <si>
    <t xml:space="preserve">移到最後</t>
  </si>
  <si>
    <r>
      <rPr>
        <sz val="10"/>
        <color rgb="FF222222"/>
        <rFont val="Arial"/>
        <family val="0"/>
        <charset val="1"/>
      </rPr>
      <t xml:space="preserve">external vRO </t>
    </r>
    <r>
      <rPr>
        <sz val="10"/>
        <color rgb="FF222222"/>
        <rFont val="Noto Sans CJK SC"/>
        <family val="2"/>
      </rPr>
      <t xml:space="preserve">必須在 </t>
    </r>
    <r>
      <rPr>
        <sz val="10"/>
        <color rgb="FF222222"/>
        <rFont val="Arial"/>
        <family val="0"/>
        <charset val="1"/>
      </rPr>
      <t xml:space="preserve">vRA → VCFA </t>
    </r>
    <r>
      <rPr>
        <sz val="10"/>
        <color rgb="FF222222"/>
        <rFont val="Noto Sans CJK SC"/>
        <family val="2"/>
      </rPr>
      <t xml:space="preserve">之後升；</t>
    </r>
    <r>
      <rPr>
        <sz val="10"/>
        <color rgb="FF222222"/>
        <rFont val="Arial"/>
        <family val="0"/>
        <charset val="1"/>
      </rPr>
      <t xml:space="preserve">vRO 9.1.1 </t>
    </r>
    <r>
      <rPr>
        <sz val="10"/>
        <color rgb="FF222222"/>
        <rFont val="Noto Sans CJK SC"/>
        <family val="2"/>
      </rPr>
      <t xml:space="preserve">不支援 </t>
    </r>
    <r>
      <rPr>
        <sz val="10"/>
        <color rgb="FF222222"/>
        <rFont val="Arial"/>
        <family val="0"/>
        <charset val="1"/>
      </rPr>
      <t xml:space="preserve">vRA 8.18 </t>
    </r>
    <r>
      <rPr>
        <sz val="10"/>
        <color rgb="FF222222"/>
        <rFont val="Noto Sans CJK SC"/>
        <family val="2"/>
      </rPr>
      <t xml:space="preserve">與 </t>
    </r>
    <r>
      <rPr>
        <sz val="10"/>
        <color rgb="FF222222"/>
        <rFont val="Arial"/>
        <family val="0"/>
        <charset val="1"/>
      </rPr>
      <t xml:space="preserve">vCenter 8.0U3</t>
    </r>
  </si>
  <si>
    <r>
      <rPr>
        <sz val="10"/>
        <color rgb="FF222222"/>
        <rFont val="Arial"/>
        <family val="0"/>
        <charset val="1"/>
      </rPr>
      <t xml:space="preserve">Configure VCF Ops Orchestrator…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Interop Matrix</t>
    </r>
  </si>
  <si>
    <t xml:space="preserve">3</t>
  </si>
  <si>
    <t xml:space="preserve">Deploy VCF Installer 9.1.1</t>
  </si>
  <si>
    <t xml:space="preserve">照做</t>
  </si>
  <si>
    <r>
      <rPr>
        <sz val="10"/>
        <color rgb="FF222222"/>
        <rFont val="Noto Sans CJK SC"/>
        <family val="2"/>
      </rPr>
      <t xml:space="preserve">全新 </t>
    </r>
    <r>
      <rPr>
        <sz val="10"/>
        <color rgb="FF222222"/>
        <rFont val="Arial"/>
        <family val="0"/>
        <charset val="1"/>
      </rPr>
      <t xml:space="preserve">Installer</t>
    </r>
    <r>
      <rPr>
        <sz val="10"/>
        <color rgb="FF222222"/>
        <rFont val="Noto Sans CJK SC"/>
        <family val="2"/>
      </rPr>
      <t xml:space="preserve">、版本 ≥ </t>
    </r>
    <r>
      <rPr>
        <sz val="10"/>
        <color rgb="FF222222"/>
        <rFont val="Arial"/>
        <family val="0"/>
        <charset val="1"/>
      </rPr>
      <t xml:space="preserve">9.1.1</t>
    </r>
  </si>
  <si>
    <r>
      <rPr>
        <sz val="10"/>
        <color rgb="FF222222"/>
        <rFont val="Arial"/>
        <family val="0"/>
        <charset val="1"/>
      </rPr>
      <t xml:space="preserve">Converge </t>
    </r>
    <r>
      <rPr>
        <sz val="10"/>
        <color rgb="FF222222"/>
        <rFont val="Noto Sans CJK SC"/>
        <family val="2"/>
      </rPr>
      <t xml:space="preserve">部署頁</t>
    </r>
  </si>
  <si>
    <t xml:space="preserve">4</t>
  </si>
  <si>
    <t xml:space="preserve">Offline Depot???</t>
  </si>
  <si>
    <t xml:space="preserve">建議架</t>
  </si>
  <si>
    <r>
      <rPr>
        <sz val="10"/>
        <color rgb="FF222222"/>
        <rFont val="Noto Sans CJK SC"/>
        <family val="2"/>
      </rPr>
      <t xml:space="preserve">非必要（可 </t>
    </r>
    <r>
      <rPr>
        <sz val="10"/>
        <color rgb="FF222222"/>
        <rFont val="Arial"/>
        <family val="0"/>
        <charset val="1"/>
      </rPr>
      <t xml:space="preserve">Manual Transfer</t>
    </r>
    <r>
      <rPr>
        <sz val="10"/>
        <color rgb="FF222222"/>
        <rFont val="Noto Sans CJK SC"/>
        <family val="2"/>
      </rPr>
      <t xml:space="preserve">），但 </t>
    </r>
    <r>
      <rPr>
        <sz val="10"/>
        <color rgb="FF222222"/>
        <rFont val="Arial"/>
        <family val="0"/>
        <charset val="1"/>
      </rPr>
      <t xml:space="preserve">Installer </t>
    </r>
    <r>
      <rPr>
        <sz val="10"/>
        <color rgb="FF222222"/>
        <rFont val="Noto Sans CJK SC"/>
        <family val="2"/>
      </rPr>
      <t xml:space="preserve">內 </t>
    </r>
    <r>
      <rPr>
        <sz val="10"/>
        <color rgb="FF222222"/>
        <rFont val="Arial"/>
        <family val="0"/>
        <charset val="1"/>
      </rPr>
      <t xml:space="preserve">binaries </t>
    </r>
    <r>
      <rPr>
        <sz val="10"/>
        <color rgb="FF222222"/>
        <rFont val="Noto Sans CJK SC"/>
        <family val="2"/>
      </rPr>
      <t xml:space="preserve">不會轉移，後續 </t>
    </r>
    <r>
      <rPr>
        <sz val="10"/>
        <color rgb="FF222222"/>
        <rFont val="Arial"/>
        <family val="0"/>
        <charset val="1"/>
      </rPr>
      <t xml:space="preserve">VCFA / WLD </t>
    </r>
    <r>
      <rPr>
        <sz val="10"/>
        <color rgb="FF222222"/>
        <rFont val="Noto Sans CJK SC"/>
        <family val="2"/>
      </rPr>
      <t xml:space="preserve">升級還要用</t>
    </r>
  </si>
  <si>
    <t xml:space="preserve">Downloading Binaries to VCF Installer</t>
  </si>
  <si>
    <t xml:space="preserve">5</t>
  </si>
  <si>
    <t xml:space="preserve">Converge Management Cluster to VCF 9.1.1</t>
  </si>
  <si>
    <r>
      <rPr>
        <sz val="10"/>
        <color rgb="FF222222"/>
        <rFont val="Noto Sans CJK SC"/>
        <family val="2"/>
      </rPr>
      <t xml:space="preserve">先過支援組態檢查；成功後不可逆（</t>
    </r>
    <r>
      <rPr>
        <sz val="10"/>
        <color rgb="FF222222"/>
        <rFont val="Arial"/>
        <family val="0"/>
        <charset val="1"/>
      </rPr>
      <t xml:space="preserve">PONR</t>
    </r>
    <r>
      <rPr>
        <sz val="10"/>
        <color rgb="FF222222"/>
        <rFont val="Noto Sans CJK SC"/>
        <family val="2"/>
      </rPr>
      <t xml:space="preserve">）</t>
    </r>
  </si>
  <si>
    <t xml:space="preserve">Supported / Not Supported Configurations</t>
  </si>
  <si>
    <t xml:space="preserve">6</t>
  </si>
  <si>
    <t xml:space="preserve">Import vRA to VCF</t>
  </si>
  <si>
    <r>
      <rPr>
        <sz val="10"/>
        <color rgb="FF222222"/>
        <rFont val="Noto Sans CJK SC"/>
        <family val="2"/>
      </rPr>
      <t xml:space="preserve">前提：</t>
    </r>
    <r>
      <rPr>
        <sz val="10"/>
        <color rgb="FF222222"/>
        <rFont val="Arial"/>
        <family val="0"/>
        <charset val="1"/>
      </rPr>
      <t xml:space="preserve">vRA </t>
    </r>
    <r>
      <rPr>
        <sz val="10"/>
        <color rgb="FF222222"/>
        <rFont val="Noto Sans CJK SC"/>
        <family val="2"/>
      </rPr>
      <t xml:space="preserve">已在管理網域（</t>
    </r>
    <r>
      <rPr>
        <sz val="10"/>
        <color rgb="FF222222"/>
        <rFont val="Arial"/>
        <family val="0"/>
        <charset val="1"/>
      </rPr>
      <t xml:space="preserve">Step 1</t>
    </r>
    <r>
      <rPr>
        <sz val="10"/>
        <color rgb="FF222222"/>
        <rFont val="Noto Sans CJK SC"/>
        <family val="2"/>
      </rPr>
      <t xml:space="preserve">）</t>
    </r>
  </si>
  <si>
    <t xml:space="preserve">Import Aria Automation in VCF Ops</t>
  </si>
  <si>
    <t xml:space="preserve">7</t>
  </si>
  <si>
    <t xml:space="preserve">Upgrade vRA to 9.1.1</t>
  </si>
  <si>
    <r>
      <rPr>
        <sz val="10"/>
        <color rgb="FF222222"/>
        <rFont val="Arial"/>
        <family val="0"/>
        <charset val="1"/>
      </rPr>
      <t xml:space="preserve">KB 425489 </t>
    </r>
    <r>
      <rPr>
        <sz val="10"/>
        <color rgb="FF222222"/>
        <rFont val="Noto Sans CJK SC"/>
        <family val="2"/>
      </rPr>
      <t xml:space="preserve">腳本；</t>
    </r>
    <r>
      <rPr>
        <sz val="10"/>
        <color rgb="FF222222"/>
        <rFont val="Arial"/>
        <family val="0"/>
        <charset val="1"/>
      </rPr>
      <t xml:space="preserve">5 IP + runtime FQDN </t>
    </r>
    <r>
      <rPr>
        <sz val="10"/>
        <color rgb="FF222222"/>
        <rFont val="Noto Sans CJK SC"/>
        <family val="2"/>
      </rPr>
      <t xml:space="preserve">同網段</t>
    </r>
  </si>
  <si>
    <t xml:space="preserve">Upgrading to VCF Automation 9.1</t>
  </si>
  <si>
    <t xml:space="preserve">8</t>
  </si>
  <si>
    <r>
      <rPr>
        <sz val="10"/>
        <color rgb="FF222222"/>
        <rFont val="Arial"/>
        <family val="0"/>
        <charset val="1"/>
      </rPr>
      <t xml:space="preserve">Import </t>
    </r>
    <r>
      <rPr>
        <sz val="10"/>
        <color rgb="FF222222"/>
        <rFont val="Noto Sans CJK SC"/>
        <family val="2"/>
      </rPr>
      <t xml:space="preserve">整合雲</t>
    </r>
  </si>
  <si>
    <r>
      <rPr>
        <sz val="10"/>
        <color rgb="FF222222"/>
        <rFont val="Arial"/>
        <family val="0"/>
        <charset val="1"/>
      </rPr>
      <t xml:space="preserve">import 8.0.3 </t>
    </r>
    <r>
      <rPr>
        <sz val="10"/>
        <color rgb="FF222222"/>
        <rFont val="Noto Sans CJK SC"/>
        <family val="2"/>
      </rPr>
      <t xml:space="preserve">會自建 </t>
    </r>
    <r>
      <rPr>
        <sz val="10"/>
        <color rgb="FF222222"/>
        <rFont val="Arial"/>
        <family val="0"/>
        <charset val="1"/>
      </rPr>
      <t xml:space="preserve">3-node NSX 4.2</t>
    </r>
    <r>
      <rPr>
        <sz val="10"/>
        <color rgb="FF222222"/>
        <rFont val="Noto Sans CJK SC"/>
        <family val="2"/>
      </rPr>
      <t xml:space="preserve">；建議先升 </t>
    </r>
    <r>
      <rPr>
        <sz val="10"/>
        <color rgb="FF222222"/>
        <rFont val="Arial"/>
        <family val="0"/>
        <charset val="1"/>
      </rPr>
      <t xml:space="preserve">vCenter </t>
    </r>
    <r>
      <rPr>
        <sz val="10"/>
        <color rgb="FF222222"/>
        <rFont val="Noto Sans CJK SC"/>
        <family val="2"/>
      </rPr>
      <t xml:space="preserve">再 </t>
    </r>
    <r>
      <rPr>
        <sz val="10"/>
        <color rgb="FF222222"/>
        <rFont val="Arial"/>
        <family val="0"/>
        <charset val="1"/>
      </rPr>
      <t xml:space="preserve">import</t>
    </r>
    <r>
      <rPr>
        <sz val="10"/>
        <color rgb="FF222222"/>
        <rFont val="Noto Sans CJK SC"/>
        <family val="2"/>
      </rPr>
      <t xml:space="preserve">、共用管理網域 </t>
    </r>
    <r>
      <rPr>
        <sz val="10"/>
        <color rgb="FF222222"/>
        <rFont val="Arial"/>
        <family val="0"/>
        <charset val="1"/>
      </rPr>
      <t xml:space="preserve">NSX</t>
    </r>
  </si>
  <si>
    <t xml:space="preserve">Import an Existing vCenter</t>
  </si>
  <si>
    <t xml:space="preserve">9</t>
  </si>
  <si>
    <r>
      <rPr>
        <sz val="10"/>
        <color rgb="FF222222"/>
        <rFont val="Arial"/>
        <family val="0"/>
        <charset val="1"/>
      </rPr>
      <t xml:space="preserve">Import </t>
    </r>
    <r>
      <rPr>
        <sz val="10"/>
        <color rgb="FF222222"/>
        <rFont val="Noto Sans CJK SC"/>
        <family val="2"/>
      </rPr>
      <t xml:space="preserve">中信雲</t>
    </r>
  </si>
  <si>
    <t xml:space="preserve">同上</t>
  </si>
  <si>
    <t xml:space="preserve">10</t>
  </si>
  <si>
    <r>
      <rPr>
        <sz val="10"/>
        <color rgb="FF222222"/>
        <rFont val="Arial"/>
        <family val="0"/>
        <charset val="1"/>
      </rPr>
      <t xml:space="preserve">Upgrade </t>
    </r>
    <r>
      <rPr>
        <sz val="10"/>
        <color rgb="FF222222"/>
        <rFont val="Noto Sans CJK SC"/>
        <family val="2"/>
      </rPr>
      <t xml:space="preserve">整合雲 </t>
    </r>
    <r>
      <rPr>
        <sz val="10"/>
        <color rgb="FF222222"/>
        <rFont val="Arial"/>
        <family val="0"/>
        <charset val="1"/>
      </rPr>
      <t xml:space="preserve">to 9.1.1</t>
    </r>
  </si>
  <si>
    <t xml:space="preserve">拆兩段</t>
  </si>
  <si>
    <r>
      <rPr>
        <sz val="10"/>
        <color rgb="FF222222"/>
        <rFont val="Arial"/>
        <family val="0"/>
        <charset val="1"/>
      </rPr>
      <t xml:space="preserve">vCenter </t>
    </r>
    <r>
      <rPr>
        <sz val="10"/>
        <color rgb="FF222222"/>
        <rFont val="Noto Sans CJK SC"/>
        <family val="2"/>
      </rPr>
      <t xml:space="preserve">在 </t>
    </r>
    <r>
      <rPr>
        <sz val="10"/>
        <color rgb="FF222222"/>
        <rFont val="Arial"/>
        <family val="0"/>
        <charset val="1"/>
      </rPr>
      <t xml:space="preserve">import </t>
    </r>
    <r>
      <rPr>
        <sz val="10"/>
        <color rgb="FF222222"/>
        <rFont val="Noto Sans CJK SC"/>
        <family val="2"/>
      </rPr>
      <t xml:space="preserve">前以 </t>
    </r>
    <r>
      <rPr>
        <sz val="10"/>
        <color rgb="FF222222"/>
        <rFont val="Arial"/>
        <family val="0"/>
        <charset val="1"/>
      </rPr>
      <t xml:space="preserve">RDU </t>
    </r>
    <r>
      <rPr>
        <sz val="10"/>
        <color rgb="FF222222"/>
        <rFont val="Noto Sans CJK SC"/>
        <family val="2"/>
      </rPr>
      <t xml:space="preserve">升；</t>
    </r>
    <r>
      <rPr>
        <sz val="10"/>
        <color rgb="FF222222"/>
        <rFont val="Arial"/>
        <family val="0"/>
        <charset val="1"/>
      </rPr>
      <t xml:space="preserve">ESXi </t>
    </r>
    <r>
      <rPr>
        <sz val="10"/>
        <color rgb="FF222222"/>
        <rFont val="Noto Sans CJK SC"/>
        <family val="2"/>
      </rPr>
      <t xml:space="preserve">在 </t>
    </r>
    <r>
      <rPr>
        <sz val="10"/>
        <color rgb="FF222222"/>
        <rFont val="Arial"/>
        <family val="0"/>
        <charset val="1"/>
      </rPr>
      <t xml:space="preserve">import </t>
    </r>
    <r>
      <rPr>
        <sz val="10"/>
        <color rgb="FF222222"/>
        <rFont val="Noto Sans CJK SC"/>
        <family val="2"/>
      </rPr>
      <t xml:space="preserve">後走 </t>
    </r>
    <r>
      <rPr>
        <sz val="10"/>
        <color rgb="FF222222"/>
        <rFont val="Arial"/>
        <family val="0"/>
        <charset val="1"/>
      </rPr>
      <t xml:space="preserve">VCF LCM</t>
    </r>
  </si>
  <si>
    <r>
      <rPr>
        <sz val="10"/>
        <color rgb="FF222222"/>
        <rFont val="Arial"/>
        <family val="0"/>
        <charset val="1"/>
      </rPr>
      <t xml:space="preserve">Import </t>
    </r>
    <r>
      <rPr>
        <sz val="10"/>
        <color rgb="FF222222"/>
        <rFont val="Noto Sans CJK SC"/>
        <family val="2"/>
      </rPr>
      <t xml:space="preserve">頁；</t>
    </r>
    <r>
      <rPr>
        <sz val="10"/>
        <color rgb="FF222222"/>
        <rFont val="Arial"/>
        <family val="0"/>
        <charset val="1"/>
      </rPr>
      <t xml:space="preserve">WLD </t>
    </r>
    <r>
      <rPr>
        <sz val="10"/>
        <color rgb="FF222222"/>
        <rFont val="Noto Sans CJK SC"/>
        <family val="2"/>
      </rPr>
      <t xml:space="preserve">升級頁</t>
    </r>
  </si>
  <si>
    <t xml:space="preserve">S07 + S10</t>
  </si>
  <si>
    <t xml:space="preserve">11</t>
  </si>
  <si>
    <r>
      <rPr>
        <sz val="10"/>
        <color rgb="FF222222"/>
        <rFont val="Arial"/>
        <family val="0"/>
        <charset val="1"/>
      </rPr>
      <t xml:space="preserve">SRM </t>
    </r>
    <r>
      <rPr>
        <sz val="10"/>
        <color rgb="FF222222"/>
        <rFont val="Noto Sans CJK SC"/>
        <family val="2"/>
      </rPr>
      <t xml:space="preserve">重新註冊（整合雲）</t>
    </r>
  </si>
  <si>
    <r>
      <rPr>
        <sz val="10"/>
        <color rgb="FF222222"/>
        <rFont val="Noto Sans CJK SC"/>
        <family val="2"/>
      </rPr>
      <t xml:space="preserve">兩站 </t>
    </r>
    <r>
      <rPr>
        <sz val="10"/>
        <color rgb="FF222222"/>
        <rFont val="Arial"/>
        <family val="0"/>
        <charset val="1"/>
      </rPr>
      <t xml:space="preserve">VAMI Reconfigure + Site Pair Reconnect</t>
    </r>
  </si>
  <si>
    <t xml:space="preserve">12</t>
  </si>
  <si>
    <r>
      <rPr>
        <sz val="10"/>
        <color rgb="FF222222"/>
        <rFont val="Arial"/>
        <family val="0"/>
        <charset val="1"/>
      </rPr>
      <t xml:space="preserve">Upgrade </t>
    </r>
    <r>
      <rPr>
        <sz val="10"/>
        <color rgb="FF222222"/>
        <rFont val="Noto Sans CJK SC"/>
        <family val="2"/>
      </rPr>
      <t xml:space="preserve">中信雲 </t>
    </r>
    <r>
      <rPr>
        <sz val="10"/>
        <color rgb="FF222222"/>
        <rFont val="Arial"/>
        <family val="0"/>
        <charset val="1"/>
      </rPr>
      <t xml:space="preserve">to 9.1.1</t>
    </r>
  </si>
  <si>
    <r>
      <rPr>
        <sz val="10"/>
        <color rgb="FF222222"/>
        <rFont val="Noto Sans CJK SC"/>
        <family val="2"/>
      </rPr>
      <t xml:space="preserve">同 </t>
    </r>
    <r>
      <rPr>
        <sz val="10"/>
        <color rgb="FF222222"/>
        <rFont val="Arial"/>
        <family val="0"/>
        <charset val="1"/>
      </rPr>
      <t xml:space="preserve">10</t>
    </r>
  </si>
  <si>
    <t xml:space="preserve">S11 + S14</t>
  </si>
  <si>
    <t xml:space="preserve">13</t>
  </si>
  <si>
    <r>
      <rPr>
        <sz val="10"/>
        <color rgb="FF222222"/>
        <rFont val="Arial"/>
        <family val="0"/>
        <charset val="1"/>
      </rPr>
      <t xml:space="preserve">SRM </t>
    </r>
    <r>
      <rPr>
        <sz val="10"/>
        <color rgb="FF222222"/>
        <rFont val="Noto Sans CJK SC"/>
        <family val="2"/>
      </rPr>
      <t xml:space="preserve">重新註冊（中信雲）</t>
    </r>
  </si>
  <si>
    <r>
      <rPr>
        <sz val="10"/>
        <color rgb="FF222222"/>
        <rFont val="Noto Sans CJK SC"/>
        <family val="2"/>
      </rPr>
      <t xml:space="preserve">同 </t>
    </r>
    <r>
      <rPr>
        <sz val="10"/>
        <color rgb="FF222222"/>
        <rFont val="Arial"/>
        <family val="0"/>
        <charset val="1"/>
      </rPr>
      <t xml:space="preserve">11</t>
    </r>
    <r>
      <rPr>
        <sz val="10"/>
        <color rgb="FF222222"/>
        <rFont val="Noto Sans CJK SC"/>
        <family val="2"/>
      </rPr>
      <t xml:space="preserve">；每次 </t>
    </r>
    <r>
      <rPr>
        <sz val="10"/>
        <color rgb="FF222222"/>
        <rFont val="Arial"/>
        <family val="0"/>
        <charset val="1"/>
      </rPr>
      <t xml:space="preserve">vCenter </t>
    </r>
    <r>
      <rPr>
        <sz val="10"/>
        <color rgb="FF222222"/>
        <rFont val="Noto Sans CJK SC"/>
        <family val="2"/>
      </rPr>
      <t xml:space="preserve">升級後兩站都要做</t>
    </r>
  </si>
  <si>
    <r>
      <rPr>
        <b val="true"/>
        <sz val="14"/>
        <color rgb="FF1B1D36"/>
        <rFont val="Arial"/>
        <family val="0"/>
        <charset val="1"/>
      </rPr>
      <t xml:space="preserve">Gate </t>
    </r>
    <r>
      <rPr>
        <b val="true"/>
        <sz val="14"/>
        <color rgb="FF1B1D36"/>
        <rFont val="Noto Sans CJK SC"/>
        <family val="2"/>
      </rPr>
      <t xml:space="preserve">與 </t>
    </r>
    <r>
      <rPr>
        <b val="true"/>
        <sz val="14"/>
        <color rgb="FF1B1D36"/>
        <rFont val="Arial"/>
        <family val="0"/>
        <charset val="1"/>
      </rPr>
      <t xml:space="preserve">Point of No Return </t>
    </r>
    <r>
      <rPr>
        <b val="true"/>
        <sz val="14"/>
        <color rgb="FF1B1D36"/>
        <rFont val="Noto Sans CJK SC"/>
        <family val="2"/>
      </rPr>
      <t xml:space="preserve">簽核</t>
    </r>
  </si>
  <si>
    <r>
      <rPr>
        <sz val="9"/>
        <color rgb="FF717074"/>
        <rFont val="Arial"/>
        <family val="0"/>
        <charset val="1"/>
      </rPr>
      <t xml:space="preserve">PONR = </t>
    </r>
    <r>
      <rPr>
        <sz val="9"/>
        <color rgb="FF717074"/>
        <rFont val="Noto Sans CJK SC"/>
        <family val="2"/>
      </rPr>
      <t xml:space="preserve">越過後無官方反向程序；需觀察期與客戶簽核</t>
    </r>
  </si>
  <si>
    <t xml:space="preserve">時點</t>
  </si>
  <si>
    <t xml:space="preserve">內容</t>
  </si>
  <si>
    <t xml:space="preserve">放行條件</t>
  </si>
  <si>
    <t xml:space="preserve">簽核角色</t>
  </si>
  <si>
    <t xml:space="preserve">PONR</t>
  </si>
  <si>
    <r>
      <rPr>
        <b val="true"/>
        <sz val="10"/>
        <color rgb="FFFFFFFF"/>
        <rFont val="Noto Sans CJK SC"/>
        <family val="2"/>
      </rPr>
      <t xml:space="preserve">結果（</t>
    </r>
    <r>
      <rPr>
        <b val="true"/>
        <sz val="10"/>
        <color rgb="FFFFFFFF"/>
        <rFont val="Arial"/>
        <family val="0"/>
        <charset val="1"/>
      </rPr>
      <t xml:space="preserve">Go / No-Go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</si>
  <si>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簽核人</t>
  </si>
  <si>
    <t xml:space="preserve">日期</t>
  </si>
  <si>
    <r>
      <rPr>
        <sz val="10"/>
        <color rgb="FF222222"/>
        <rFont val="Arial"/>
        <family val="0"/>
        <charset val="1"/>
      </rPr>
      <t xml:space="preserve">S00 </t>
    </r>
    <r>
      <rPr>
        <sz val="10"/>
        <color rgb="FF222222"/>
        <rFont val="Noto Sans CJK SC"/>
        <family val="2"/>
      </rPr>
      <t xml:space="preserve">後</t>
    </r>
  </si>
  <si>
    <t xml:space="preserve">盤點與備份</t>
  </si>
  <si>
    <r>
      <rPr>
        <sz val="10"/>
        <color rgb="FF222222"/>
        <rFont val="Noto Sans CJK SC"/>
        <family val="2"/>
      </rPr>
      <t xml:space="preserve">阻礙項清零、三套 </t>
    </r>
    <r>
      <rPr>
        <sz val="10"/>
        <color rgb="FF222222"/>
        <rFont val="Arial"/>
        <family val="0"/>
        <charset val="1"/>
      </rPr>
      <t xml:space="preserve">vCenter </t>
    </r>
    <r>
      <rPr>
        <sz val="10"/>
        <color rgb="FF222222"/>
        <rFont val="Noto Sans CJK SC"/>
        <family val="2"/>
      </rPr>
      <t xml:space="preserve">備份可還原、</t>
    </r>
    <r>
      <rPr>
        <sz val="10"/>
        <color rgb="FF222222"/>
        <rFont val="Arial"/>
        <family val="0"/>
        <charset val="1"/>
      </rPr>
      <t xml:space="preserve">IP/DNS </t>
    </r>
    <r>
      <rPr>
        <sz val="10"/>
        <color rgb="FF222222"/>
        <rFont val="Noto Sans CJK SC"/>
        <family val="2"/>
      </rPr>
      <t xml:space="preserve">驗證完成</t>
    </r>
  </si>
  <si>
    <r>
      <rPr>
        <sz val="10"/>
        <color rgb="FF222222"/>
        <rFont val="Arial"/>
        <family val="0"/>
        <charset val="1"/>
      </rPr>
      <t xml:space="preserve">PM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ARC</t>
    </r>
  </si>
  <si>
    <t xml:space="preserve">否</t>
  </si>
  <si>
    <t xml:space="preserve">G1</t>
  </si>
  <si>
    <r>
      <rPr>
        <sz val="10"/>
        <color rgb="FF222222"/>
        <rFont val="Arial"/>
        <family val="0"/>
        <charset val="1"/>
      </rPr>
      <t xml:space="preserve">S04 </t>
    </r>
    <r>
      <rPr>
        <sz val="10"/>
        <color rgb="FF222222"/>
        <rFont val="Noto Sans CJK SC"/>
        <family val="2"/>
      </rPr>
      <t xml:space="preserve">後</t>
    </r>
  </si>
  <si>
    <r>
      <rPr>
        <sz val="10"/>
        <color rgb="FF222222"/>
        <rFont val="Arial"/>
        <family val="0"/>
        <charset val="1"/>
      </rPr>
      <t xml:space="preserve">Converge </t>
    </r>
    <r>
      <rPr>
        <sz val="10"/>
        <color rgb="FF222222"/>
        <rFont val="Noto Sans CJK SC"/>
        <family val="2"/>
      </rPr>
      <t xml:space="preserve">完成</t>
    </r>
  </si>
  <si>
    <r>
      <rPr>
        <sz val="10"/>
        <color rgb="FF222222"/>
        <rFont val="Noto Sans CJK SC"/>
        <family val="2"/>
      </rPr>
      <t xml:space="preserve">管理網域 </t>
    </r>
    <r>
      <rPr>
        <sz val="10"/>
        <color rgb="FF222222"/>
        <rFont val="Arial"/>
        <family val="0"/>
        <charset val="1"/>
      </rPr>
      <t xml:space="preserve">ACTIVE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NSX / VCF Ops </t>
    </r>
    <r>
      <rPr>
        <sz val="10"/>
        <color rgb="FF222222"/>
        <rFont val="Noto Sans CJK SC"/>
        <family val="2"/>
      </rPr>
      <t xml:space="preserve">正常、第一次 </t>
    </r>
    <r>
      <rPr>
        <sz val="10"/>
        <color rgb="FF222222"/>
        <rFont val="Arial"/>
        <family val="0"/>
        <charset val="1"/>
      </rPr>
      <t xml:space="preserve">SFTP </t>
    </r>
    <r>
      <rPr>
        <sz val="10"/>
        <color rgb="FF222222"/>
        <rFont val="Noto Sans CJK SC"/>
        <family val="2"/>
      </rPr>
      <t xml:space="preserve">備份成功</t>
    </r>
  </si>
  <si>
    <t xml:space="preserve">是</t>
  </si>
  <si>
    <r>
      <rPr>
        <sz val="10"/>
        <color rgb="FF222222"/>
        <rFont val="Arial"/>
        <family val="0"/>
        <charset val="1"/>
      </rPr>
      <t xml:space="preserve">S06 </t>
    </r>
    <r>
      <rPr>
        <sz val="10"/>
        <color rgb="FF222222"/>
        <rFont val="Noto Sans CJK SC"/>
        <family val="2"/>
      </rPr>
      <t xml:space="preserve">後</t>
    </r>
  </si>
  <si>
    <t xml:space="preserve">VCFA 9.1.1 cutover</t>
  </si>
  <si>
    <r>
      <rPr>
        <sz val="10"/>
        <color rgb="FF222222"/>
        <rFont val="Arial"/>
        <family val="0"/>
        <charset val="1"/>
      </rPr>
      <t xml:space="preserve">Tenant / Provider </t>
    </r>
    <r>
      <rPr>
        <sz val="10"/>
        <color rgb="FF222222"/>
        <rFont val="Noto Sans CJK SC"/>
        <family val="2"/>
      </rPr>
      <t xml:space="preserve">登入、資料完整、</t>
    </r>
    <r>
      <rPr>
        <sz val="10"/>
        <color rgb="FF222222"/>
        <rFont val="Arial"/>
        <family val="0"/>
        <charset val="1"/>
      </rPr>
      <t xml:space="preserve">Day-2 </t>
    </r>
    <r>
      <rPr>
        <sz val="10"/>
        <color rgb="FF222222"/>
        <rFont val="Noto Sans CJK SC"/>
        <family val="2"/>
      </rPr>
      <t xml:space="preserve">成功；</t>
    </r>
    <r>
      <rPr>
        <sz val="10"/>
        <color rgb="FF222222"/>
        <rFont val="Arial"/>
        <family val="0"/>
        <charset val="1"/>
      </rPr>
      <t xml:space="preserve">8.18 </t>
    </r>
    <r>
      <rPr>
        <sz val="10"/>
        <color rgb="FF222222"/>
        <rFont val="Noto Sans CJK SC"/>
        <family val="2"/>
      </rPr>
      <t xml:space="preserve">來源保留至觀察期後</t>
    </r>
  </si>
  <si>
    <r>
      <rPr>
        <sz val="10"/>
        <color rgb="FF222222"/>
        <rFont val="Arial"/>
        <family val="0"/>
        <charset val="1"/>
      </rPr>
      <t xml:space="preserve">PM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AUTO</t>
    </r>
  </si>
  <si>
    <t xml:space="preserve">G3</t>
  </si>
  <si>
    <r>
      <rPr>
        <sz val="10"/>
        <color rgb="FF222222"/>
        <rFont val="Noto Sans CJK SC"/>
        <family val="2"/>
      </rPr>
      <t xml:space="preserve">整合雲 </t>
    </r>
    <r>
      <rPr>
        <sz val="10"/>
        <color rgb="FF222222"/>
        <rFont val="Arial"/>
        <family val="0"/>
        <charset val="1"/>
      </rPr>
      <t xml:space="preserve">import</t>
    </r>
  </si>
  <si>
    <r>
      <rPr>
        <sz val="10"/>
        <color rgb="FF222222"/>
        <rFont val="Arial"/>
        <family val="0"/>
        <charset val="1"/>
      </rPr>
      <t xml:space="preserve">vCenter 9.1.1 </t>
    </r>
    <r>
      <rPr>
        <sz val="10"/>
        <color rgb="FF222222"/>
        <rFont val="Noto Sans CJK SC"/>
        <family val="2"/>
      </rPr>
      <t xml:space="preserve">正常、</t>
    </r>
    <r>
      <rPr>
        <sz val="10"/>
        <color rgb="FF222222"/>
        <rFont val="Arial"/>
        <family val="0"/>
        <charset val="1"/>
      </rPr>
      <t xml:space="preserve">SRM Test Recovery </t>
    </r>
    <r>
      <rPr>
        <sz val="10"/>
        <color rgb="FF222222"/>
        <rFont val="Noto Sans CJK SC"/>
        <family val="2"/>
      </rPr>
      <t xml:space="preserve">成功、</t>
    </r>
    <r>
      <rPr>
        <sz val="10"/>
        <color rgb="FF222222"/>
        <rFont val="Arial"/>
        <family val="0"/>
        <charset val="1"/>
      </rPr>
      <t xml:space="preserve">Compute Manager </t>
    </r>
    <r>
      <rPr>
        <sz val="10"/>
        <color rgb="FF222222"/>
        <rFont val="Noto Sans CJK SC"/>
        <family val="2"/>
      </rPr>
      <t xml:space="preserve">已註冊</t>
    </r>
  </si>
  <si>
    <r>
      <rPr>
        <sz val="10"/>
        <color rgb="FF222222"/>
        <rFont val="Arial"/>
        <family val="0"/>
        <charset val="1"/>
      </rPr>
      <t xml:space="preserve">PM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ARC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DR</t>
    </r>
  </si>
  <si>
    <t xml:space="preserve">G4</t>
  </si>
  <si>
    <r>
      <rPr>
        <sz val="10"/>
        <color rgb="FF222222"/>
        <rFont val="Noto Sans CJK SC"/>
        <family val="2"/>
      </rPr>
      <t xml:space="preserve">中信雲 </t>
    </r>
    <r>
      <rPr>
        <sz val="10"/>
        <color rgb="FF222222"/>
        <rFont val="Arial"/>
        <family val="0"/>
        <charset val="1"/>
      </rPr>
      <t xml:space="preserve">import</t>
    </r>
  </si>
  <si>
    <r>
      <rPr>
        <sz val="10"/>
        <color rgb="FF222222"/>
        <rFont val="Noto Sans CJK SC"/>
        <family val="2"/>
      </rPr>
      <t xml:space="preserve">同 </t>
    </r>
    <r>
      <rPr>
        <sz val="10"/>
        <color rgb="FF222222"/>
        <rFont val="Arial"/>
        <family val="0"/>
        <charset val="1"/>
      </rPr>
      <t xml:space="preserve">G3</t>
    </r>
  </si>
  <si>
    <t xml:space="preserve">G5</t>
  </si>
  <si>
    <t xml:space="preserve">vSAN on-disk format</t>
  </si>
  <si>
    <t xml:space="preserve">觀察期無重大事件、客戶簽核</t>
  </si>
  <si>
    <r>
      <rPr>
        <b val="true"/>
        <sz val="14"/>
        <color rgb="FF1B1D36"/>
        <rFont val="Noto Sans CJK SC"/>
        <family val="2"/>
      </rPr>
      <t xml:space="preserve">新增元件 </t>
    </r>
    <r>
      <rPr>
        <b val="true"/>
        <sz val="14"/>
        <color rgb="FF1B1D36"/>
        <rFont val="Arial"/>
        <family val="0"/>
        <charset val="1"/>
      </rPr>
      <t xml:space="preserve">IP / DNS </t>
    </r>
    <r>
      <rPr>
        <b val="true"/>
        <sz val="14"/>
        <color rgb="FF1B1D36"/>
        <rFont val="Noto Sans CJK SC"/>
        <family val="2"/>
      </rPr>
      <t xml:space="preserve">規劃</t>
    </r>
  </si>
  <si>
    <r>
      <rPr>
        <sz val="9"/>
        <color rgb="FF717074"/>
        <rFont val="Noto Sans CJK SC"/>
        <family val="2"/>
      </rPr>
      <t xml:space="preserve">黃底欄位填實際值；</t>
    </r>
    <r>
      <rPr>
        <sz val="9"/>
        <color rgb="FF717074"/>
        <rFont val="Arial"/>
        <family val="0"/>
        <charset val="1"/>
      </rPr>
      <t xml:space="preserve">FQDN </t>
    </r>
    <r>
      <rPr>
        <sz val="9"/>
        <color rgb="FF717074"/>
        <rFont val="Noto Sans CJK SC"/>
        <family val="2"/>
      </rPr>
      <t xml:space="preserve">全小寫、</t>
    </r>
    <r>
      <rPr>
        <sz val="9"/>
        <color rgb="FF717074"/>
        <rFont val="Arial"/>
        <family val="0"/>
        <charset val="1"/>
      </rPr>
      <t xml:space="preserve">A / PTR </t>
    </r>
    <r>
      <rPr>
        <sz val="9"/>
        <color rgb="FF717074"/>
        <rFont val="Noto Sans CJK SC"/>
        <family val="2"/>
      </rPr>
      <t xml:space="preserve">都要建（</t>
    </r>
    <r>
      <rPr>
        <sz val="9"/>
        <color rgb="FF717074"/>
        <rFont val="Arial"/>
        <family val="0"/>
        <charset val="1"/>
      </rPr>
      <t xml:space="preserve">KB 453612</t>
    </r>
    <r>
      <rPr>
        <sz val="9"/>
        <color rgb="FF717074"/>
        <rFont val="Noto Sans CJK SC"/>
        <family val="2"/>
      </rPr>
      <t xml:space="preserve">、</t>
    </r>
    <r>
      <rPr>
        <sz val="9"/>
        <color rgb="FF717074"/>
        <rFont val="Arial"/>
        <family val="0"/>
        <charset val="1"/>
      </rPr>
      <t xml:space="preserve">KB 440630</t>
    </r>
    <r>
      <rPr>
        <sz val="9"/>
        <color rgb="FF717074"/>
        <rFont val="Noto Sans CJK SC"/>
        <family val="2"/>
      </rPr>
      <t xml:space="preserve">）</t>
    </r>
  </si>
  <si>
    <t xml:space="preserve">元件</t>
  </si>
  <si>
    <r>
      <rPr>
        <b val="true"/>
        <sz val="10"/>
        <color rgb="FFFFFFFF"/>
        <rFont val="Arial"/>
        <family val="0"/>
        <charset val="1"/>
      </rPr>
      <t xml:space="preserve">IP </t>
    </r>
    <r>
      <rPr>
        <b val="true"/>
        <sz val="10"/>
        <color rgb="FFFFFFFF"/>
        <rFont val="Noto Sans CJK SC"/>
        <family val="2"/>
      </rPr>
      <t xml:space="preserve">數量</t>
    </r>
  </si>
  <si>
    <r>
      <rPr>
        <b val="true"/>
        <sz val="10"/>
        <color rgb="FFFFFFFF"/>
        <rFont val="Arial"/>
        <family val="0"/>
        <charset val="1"/>
      </rPr>
      <t xml:space="preserve">FQDN </t>
    </r>
    <r>
      <rPr>
        <b val="true"/>
        <sz val="10"/>
        <color rgb="FFFFFFFF"/>
        <rFont val="Noto Sans CJK SC"/>
        <family val="2"/>
      </rPr>
      <t xml:space="preserve">需求</t>
    </r>
  </si>
  <si>
    <t xml:space="preserve">網段</t>
  </si>
  <si>
    <r>
      <rPr>
        <b val="true"/>
        <sz val="10"/>
        <color rgb="FFFFFFFF"/>
        <rFont val="Noto Sans CJK SC"/>
        <family val="2"/>
      </rPr>
      <t xml:space="preserve">實際 </t>
    </r>
    <r>
      <rPr>
        <b val="true"/>
        <sz val="10"/>
        <color rgb="FFFFFFFF"/>
        <rFont val="Arial"/>
        <family val="0"/>
        <charset val="1"/>
      </rPr>
      <t xml:space="preserve">FQDN</t>
    </r>
  </si>
  <si>
    <r>
      <rPr>
        <b val="true"/>
        <sz val="10"/>
        <color rgb="FFFFFFFF"/>
        <rFont val="Noto Sans CJK SC"/>
        <family val="2"/>
      </rPr>
      <t xml:space="preserve">實際 </t>
    </r>
    <r>
      <rPr>
        <b val="true"/>
        <sz val="10"/>
        <color rgb="FFFFFFFF"/>
        <rFont val="Arial"/>
        <family val="0"/>
        <charset val="1"/>
      </rPr>
      <t xml:space="preserve">IP / </t>
    </r>
    <r>
      <rPr>
        <b val="true"/>
        <sz val="10"/>
        <color rgb="FFFFFFFF"/>
        <rFont val="Noto Sans CJK SC"/>
        <family val="2"/>
      </rPr>
      <t xml:space="preserve">範圍</t>
    </r>
  </si>
  <si>
    <t xml:space="preserve">VLAN</t>
  </si>
  <si>
    <r>
      <rPr>
        <b val="true"/>
        <sz val="10"/>
        <color rgb="FFFFFFFF"/>
        <rFont val="Arial"/>
        <family val="0"/>
        <charset val="1"/>
      </rPr>
      <t xml:space="preserve">A / PTR </t>
    </r>
    <r>
      <rPr>
        <b val="true"/>
        <sz val="10"/>
        <color rgb="FFFFFFFF"/>
        <rFont val="Noto Sans CJK SC"/>
        <family val="2"/>
      </rPr>
      <t xml:space="preserve">驗證</t>
    </r>
  </si>
  <si>
    <t xml:space="preserve">VCF Installer</t>
  </si>
  <si>
    <t xml:space="preserve">Mgmt</t>
  </si>
  <si>
    <r>
      <rPr>
        <sz val="10"/>
        <color rgb="FF222222"/>
        <rFont val="Noto Sans CJK SC"/>
        <family val="2"/>
      </rPr>
      <t xml:space="preserve">可放在 </t>
    </r>
    <r>
      <rPr>
        <sz val="10"/>
        <color rgb="FF222222"/>
        <rFont val="Arial"/>
        <family val="0"/>
        <charset val="1"/>
      </rPr>
      <t xml:space="preserve">Management Cluster</t>
    </r>
  </si>
  <si>
    <t xml:space="preserve">SDDC Manager</t>
  </si>
  <si>
    <r>
      <rPr>
        <sz val="10"/>
        <color rgb="FF222222"/>
        <rFont val="Arial"/>
        <family val="0"/>
        <charset val="1"/>
      </rPr>
      <t xml:space="preserve">NSX Manager</t>
    </r>
    <r>
      <rPr>
        <sz val="10"/>
        <color rgb="FF222222"/>
        <rFont val="Noto Sans CJK SC"/>
        <family val="2"/>
      </rPr>
      <t xml:space="preserve">（管理網域）</t>
    </r>
  </si>
  <si>
    <r>
      <rPr>
        <sz val="10"/>
        <color rgb="FF222222"/>
        <rFont val="Arial"/>
        <family val="0"/>
        <charset val="1"/>
      </rPr>
      <t xml:space="preserve">VIP 1 + </t>
    </r>
    <r>
      <rPr>
        <sz val="10"/>
        <color rgb="FF222222"/>
        <rFont val="Noto Sans CJK SC"/>
        <family val="2"/>
      </rPr>
      <t xml:space="preserve">節點 </t>
    </r>
    <r>
      <rPr>
        <sz val="10"/>
        <color rgb="FF222222"/>
        <rFont val="Arial"/>
        <family val="0"/>
        <charset val="1"/>
      </rPr>
      <t xml:space="preserve">1 </t>
    </r>
    <r>
      <rPr>
        <sz val="10"/>
        <color rgb="FF222222"/>
        <rFont val="Noto Sans CJK SC"/>
        <family val="2"/>
      </rPr>
      <t xml:space="preserve">或 </t>
    </r>
    <r>
      <rPr>
        <sz val="10"/>
        <color rgb="FF222222"/>
        <rFont val="Arial"/>
        <family val="0"/>
        <charset val="1"/>
      </rPr>
      <t xml:space="preserve">3</t>
    </r>
  </si>
  <si>
    <r>
      <rPr>
        <sz val="10"/>
        <color rgb="FF222222"/>
        <rFont val="Arial"/>
        <family val="0"/>
        <charset val="1"/>
      </rPr>
      <t xml:space="preserve">VIP + </t>
    </r>
    <r>
      <rPr>
        <sz val="10"/>
        <color rgb="FF222222"/>
        <rFont val="Noto Sans CJK SC"/>
        <family val="2"/>
      </rPr>
      <t xml:space="preserve">每節點</t>
    </r>
  </si>
  <si>
    <r>
      <rPr>
        <sz val="10"/>
        <color rgb="FF222222"/>
        <rFont val="Noto Sans CJK SC"/>
        <family val="2"/>
      </rPr>
      <t xml:space="preserve">無 </t>
    </r>
    <r>
      <rPr>
        <sz val="10"/>
        <color rgb="FF222222"/>
        <rFont val="Arial"/>
        <family val="0"/>
        <charset val="1"/>
      </rPr>
      <t xml:space="preserve">NSX Edge cluster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NSX </t>
    </r>
    <r>
      <rPr>
        <sz val="10"/>
        <color rgb="FF222222"/>
        <rFont val="Noto Sans CJK SC"/>
        <family val="2"/>
      </rPr>
      <t xml:space="preserve">憑證 </t>
    </r>
    <r>
      <rPr>
        <sz val="10"/>
        <color rgb="FF222222"/>
        <rFont val="Arial"/>
        <family val="0"/>
        <charset val="1"/>
      </rPr>
      <t xml:space="preserve">SAN </t>
    </r>
    <r>
      <rPr>
        <sz val="10"/>
        <color rgb="FF222222"/>
        <rFont val="Noto Sans CJK SC"/>
        <family val="2"/>
      </rPr>
      <t xml:space="preserve">含所有節點 </t>
    </r>
    <r>
      <rPr>
        <sz val="10"/>
        <color rgb="FF222222"/>
        <rFont val="Arial"/>
        <family val="0"/>
        <charset val="1"/>
      </rPr>
      <t xml:space="preserve">FQDN </t>
    </r>
    <r>
      <rPr>
        <sz val="10"/>
        <color rgb="FF222222"/>
        <rFont val="Noto Sans CJK SC"/>
        <family val="2"/>
      </rPr>
      <t xml:space="preserve">與 </t>
    </r>
    <r>
      <rPr>
        <sz val="10"/>
        <color rgb="FF222222"/>
        <rFont val="Arial"/>
        <family val="0"/>
        <charset val="1"/>
      </rPr>
      <t xml:space="preserve">VIP</t>
    </r>
  </si>
  <si>
    <t xml:space="preserve">VCF Operations</t>
  </si>
  <si>
    <r>
      <rPr>
        <sz val="10"/>
        <color rgb="FF222222"/>
        <rFont val="Arial"/>
        <family val="0"/>
        <charset val="1"/>
      </rPr>
      <t xml:space="preserve">1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Simple</t>
    </r>
    <r>
      <rPr>
        <sz val="10"/>
        <color rgb="FF222222"/>
        <rFont val="Noto Sans CJK SC"/>
        <family val="2"/>
      </rPr>
      <t xml:space="preserve">）或 </t>
    </r>
    <r>
      <rPr>
        <sz val="10"/>
        <color rgb="FF222222"/>
        <rFont val="Arial"/>
        <family val="0"/>
        <charset val="1"/>
      </rPr>
      <t xml:space="preserve">3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HA</t>
    </r>
    <r>
      <rPr>
        <sz val="10"/>
        <color rgb="FF222222"/>
        <rFont val="Noto Sans CJK SC"/>
        <family val="2"/>
      </rPr>
      <t xml:space="preserve">）</t>
    </r>
  </si>
  <si>
    <t xml:space="preserve">每節點</t>
  </si>
  <si>
    <r>
      <rPr>
        <sz val="10"/>
        <color rgb="FF222222"/>
        <rFont val="Arial"/>
        <family val="0"/>
        <charset val="1"/>
      </rPr>
      <t xml:space="preserve">9.1.1 </t>
    </r>
    <r>
      <rPr>
        <sz val="10"/>
        <color rgb="FF222222"/>
        <rFont val="Noto Sans CJK SC"/>
        <family val="2"/>
      </rPr>
      <t xml:space="preserve">起須在第一個 </t>
    </r>
    <r>
      <rPr>
        <sz val="10"/>
        <color rgb="FF222222"/>
        <rFont val="Arial"/>
        <family val="0"/>
        <charset val="1"/>
      </rPr>
      <t xml:space="preserve">Instance </t>
    </r>
    <r>
      <rPr>
        <sz val="10"/>
        <color rgb="FF222222"/>
        <rFont val="Noto Sans CJK SC"/>
        <family val="2"/>
      </rPr>
      <t xml:space="preserve">的管理網域</t>
    </r>
  </si>
  <si>
    <t xml:space="preserve">VCF Operations Cloud Proxy</t>
  </si>
  <si>
    <t xml:space="preserve">License Server</t>
  </si>
  <si>
    <r>
      <rPr>
        <sz val="10"/>
        <color rgb="FF222222"/>
        <rFont val="Arial"/>
        <family val="0"/>
        <charset val="1"/>
      </rPr>
      <t xml:space="preserve">1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A + PTR </t>
    </r>
    <r>
      <rPr>
        <sz val="10"/>
        <color rgb="FF222222"/>
        <rFont val="Noto Sans CJK SC"/>
        <family val="2"/>
      </rPr>
      <t xml:space="preserve">必要）</t>
    </r>
  </si>
  <si>
    <t xml:space="preserve">KB 440630</t>
  </si>
  <si>
    <t xml:space="preserve">VCF Identity Broker</t>
  </si>
  <si>
    <r>
      <rPr>
        <sz val="10"/>
        <color rgb="FF222222"/>
        <rFont val="Arial"/>
        <family val="0"/>
        <charset val="1"/>
      </rPr>
      <t xml:space="preserve">VCF Management Services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services runtime</t>
    </r>
    <r>
      <rPr>
        <sz val="10"/>
        <color rgb="FF222222"/>
        <rFont val="Noto Sans CJK SC"/>
        <family val="2"/>
      </rPr>
      <t xml:space="preserve">）</t>
    </r>
  </si>
  <si>
    <r>
      <rPr>
        <sz val="10"/>
        <color rgb="FF222222"/>
        <rFont val="Arial"/>
        <family val="0"/>
        <charset val="1"/>
      </rPr>
      <t xml:space="preserve">IP pool ≥ 12</t>
    </r>
    <r>
      <rPr>
        <sz val="10"/>
        <color rgb="FF222222"/>
        <rFont val="Noto Sans CJK SC"/>
        <family val="2"/>
      </rPr>
      <t xml:space="preserve">（最多 </t>
    </r>
    <r>
      <rPr>
        <sz val="10"/>
        <color rgb="FF222222"/>
        <rFont val="Arial"/>
        <family val="0"/>
        <charset val="1"/>
      </rPr>
      <t xml:space="preserve">30</t>
    </r>
    <r>
      <rPr>
        <sz val="10"/>
        <color rgb="FF222222"/>
        <rFont val="Noto Sans CJK SC"/>
        <family val="2"/>
      </rPr>
      <t xml:space="preserve">）</t>
    </r>
  </si>
  <si>
    <t xml:space="preserve">Fleet / Instance FQDN</t>
  </si>
  <si>
    <r>
      <rPr>
        <sz val="10"/>
        <color rgb="FF222222"/>
        <rFont val="Noto Sans CJK SC"/>
        <family val="2"/>
      </rPr>
      <t xml:space="preserve">內部網段 </t>
    </r>
    <r>
      <rPr>
        <sz val="10"/>
        <color rgb="FF222222"/>
        <rFont val="Arial"/>
        <family val="0"/>
        <charset val="1"/>
      </rPr>
      <t xml:space="preserve">198.18.0.0/15 </t>
    </r>
    <r>
      <rPr>
        <sz val="10"/>
        <color rgb="FF222222"/>
        <rFont val="Noto Sans CJK SC"/>
        <family val="2"/>
      </rPr>
      <t xml:space="preserve">不可與內網重疊（</t>
    </r>
    <r>
      <rPr>
        <sz val="10"/>
        <color rgb="FF222222"/>
        <rFont val="Arial"/>
        <family val="0"/>
        <charset val="1"/>
      </rPr>
      <t xml:space="preserve">KB 440630</t>
    </r>
    <r>
      <rPr>
        <sz val="10"/>
        <color rgb="FF222222"/>
        <rFont val="Noto Sans CJK SC"/>
        <family val="2"/>
      </rPr>
      <t xml:space="preserve">）</t>
    </r>
  </si>
  <si>
    <r>
      <rPr>
        <sz val="10"/>
        <color rgb="FF222222"/>
        <rFont val="Arial"/>
        <family val="0"/>
        <charset val="1"/>
      </rPr>
      <t xml:space="preserve">VCF Automation 9.1.1</t>
    </r>
    <r>
      <rPr>
        <sz val="10"/>
        <color rgb="FF222222"/>
        <rFont val="Noto Sans CJK SC"/>
        <family val="2"/>
      </rPr>
      <t xml:space="preserve">（升級用）</t>
    </r>
  </si>
  <si>
    <r>
      <rPr>
        <sz val="10"/>
        <color rgb="FF222222"/>
        <rFont val="Arial"/>
        <family val="0"/>
        <charset val="1"/>
      </rPr>
      <t xml:space="preserve">5</t>
    </r>
    <r>
      <rPr>
        <sz val="10"/>
        <color rgb="FF222222"/>
        <rFont val="Noto Sans CJK SC"/>
        <family val="2"/>
      </rPr>
      <t xml:space="preserve">（可不連續或 </t>
    </r>
    <r>
      <rPr>
        <sz val="10"/>
        <color rgb="FF222222"/>
        <rFont val="Arial"/>
        <family val="0"/>
        <charset val="1"/>
      </rPr>
      <t xml:space="preserve">/29</t>
    </r>
    <r>
      <rPr>
        <sz val="10"/>
        <color rgb="FF222222"/>
        <rFont val="Noto Sans CJK SC"/>
        <family val="2"/>
      </rPr>
      <t xml:space="preserve">）</t>
    </r>
  </si>
  <si>
    <r>
      <rPr>
        <sz val="10"/>
        <color rgb="FF222222"/>
        <rFont val="Arial"/>
        <family val="0"/>
        <charset val="1"/>
      </rPr>
      <t xml:space="preserve">runtime FQDN 1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IP </t>
    </r>
    <r>
      <rPr>
        <sz val="10"/>
        <color rgb="FF222222"/>
        <rFont val="Noto Sans CJK SC"/>
        <family val="2"/>
      </rPr>
      <t xml:space="preserve">在 </t>
    </r>
    <r>
      <rPr>
        <sz val="10"/>
        <color rgb="FF222222"/>
        <rFont val="Arial"/>
        <family val="0"/>
        <charset val="1"/>
      </rPr>
      <t xml:space="preserve">pool </t>
    </r>
    <r>
      <rPr>
        <sz val="10"/>
        <color rgb="FF222222"/>
        <rFont val="Noto Sans CJK SC"/>
        <family val="2"/>
      </rPr>
      <t xml:space="preserve">外）</t>
    </r>
  </si>
  <si>
    <r>
      <rPr>
        <sz val="10"/>
        <color rgb="FF222222"/>
        <rFont val="Arial"/>
        <family val="0"/>
        <charset val="1"/>
      </rPr>
      <t xml:space="preserve">vRA </t>
    </r>
    <r>
      <rPr>
        <sz val="10"/>
        <color rgb="FF222222"/>
        <rFont val="Noto Sans CJK SC"/>
        <family val="2"/>
      </rPr>
      <t xml:space="preserve">現行網段</t>
    </r>
  </si>
  <si>
    <r>
      <rPr>
        <sz val="10"/>
        <color rgb="FF222222"/>
        <rFont val="Noto Sans CJK SC"/>
        <family val="2"/>
      </rPr>
      <t xml:space="preserve">原 </t>
    </r>
    <r>
      <rPr>
        <sz val="10"/>
        <color rgb="FF222222"/>
        <rFont val="Arial"/>
        <family val="0"/>
        <charset val="1"/>
      </rPr>
      <t xml:space="preserve">vRA IP </t>
    </r>
    <r>
      <rPr>
        <sz val="10"/>
        <color rgb="FF222222"/>
        <rFont val="Noto Sans CJK SC"/>
        <family val="2"/>
      </rPr>
      <t xml:space="preserve">自動轉 </t>
    </r>
    <r>
      <rPr>
        <sz val="10"/>
        <color rgb="FF222222"/>
        <rFont val="Arial"/>
        <family val="0"/>
        <charset val="1"/>
      </rPr>
      <t xml:space="preserve">VIP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FQDN </t>
    </r>
    <r>
      <rPr>
        <sz val="10"/>
        <color rgb="FF222222"/>
        <rFont val="Noto Sans CJK SC"/>
        <family val="2"/>
      </rPr>
      <t xml:space="preserve">沿用</t>
    </r>
  </si>
  <si>
    <r>
      <rPr>
        <sz val="10"/>
        <color rgb="FF222222"/>
        <rFont val="Arial"/>
        <family val="0"/>
        <charset val="1"/>
      </rPr>
      <t xml:space="preserve">RDU </t>
    </r>
    <r>
      <rPr>
        <sz val="10"/>
        <color rgb="FF222222"/>
        <rFont val="Noto Sans CJK SC"/>
        <family val="2"/>
      </rPr>
      <t xml:space="preserve">暫時 </t>
    </r>
    <r>
      <rPr>
        <sz val="10"/>
        <color rgb="FF222222"/>
        <rFont val="Arial"/>
        <family val="0"/>
        <charset val="1"/>
      </rPr>
      <t xml:space="preserve">IP — </t>
    </r>
    <r>
      <rPr>
        <sz val="10"/>
        <color rgb="FF222222"/>
        <rFont val="Noto Sans CJK SC"/>
        <family val="2"/>
      </rPr>
      <t xml:space="preserve">整合雲 </t>
    </r>
    <r>
      <rPr>
        <sz val="10"/>
        <color rgb="FF222222"/>
        <rFont val="Arial"/>
        <family val="0"/>
        <charset val="1"/>
      </rPr>
      <t xml:space="preserve">vCenter</t>
    </r>
  </si>
  <si>
    <r>
      <rPr>
        <sz val="10"/>
        <color rgb="FF222222"/>
        <rFont val="Noto Sans CJK SC"/>
        <family val="2"/>
      </rPr>
      <t xml:space="preserve">—（不可有既存 </t>
    </r>
    <r>
      <rPr>
        <sz val="10"/>
        <color rgb="FF222222"/>
        <rFont val="Arial"/>
        <family val="0"/>
        <charset val="1"/>
      </rPr>
      <t xml:space="preserve">PTR</t>
    </r>
    <r>
      <rPr>
        <sz val="10"/>
        <color rgb="FF222222"/>
        <rFont val="Noto Sans CJK SC"/>
        <family val="2"/>
      </rPr>
      <t xml:space="preserve">）</t>
    </r>
  </si>
  <si>
    <r>
      <rPr>
        <sz val="10"/>
        <color rgb="FF222222"/>
        <rFont val="Noto Sans CJK SC"/>
        <family val="2"/>
      </rPr>
      <t xml:space="preserve">整合雲 </t>
    </r>
    <r>
      <rPr>
        <sz val="10"/>
        <color rgb="FF222222"/>
        <rFont val="Arial"/>
        <family val="0"/>
        <charset val="1"/>
      </rPr>
      <t xml:space="preserve">Mgmt</t>
    </r>
  </si>
  <si>
    <r>
      <rPr>
        <sz val="10"/>
        <color rgb="FF222222"/>
        <rFont val="Arial"/>
        <family val="0"/>
        <charset val="1"/>
      </rPr>
      <t xml:space="preserve">Switchover </t>
    </r>
    <r>
      <rPr>
        <sz val="10"/>
        <color rgb="FF222222"/>
        <rFont val="Noto Sans CJK SC"/>
        <family val="2"/>
      </rPr>
      <t xml:space="preserve">後釋放</t>
    </r>
  </si>
  <si>
    <r>
      <rPr>
        <sz val="10"/>
        <color rgb="FF222222"/>
        <rFont val="Arial"/>
        <family val="0"/>
        <charset val="1"/>
      </rPr>
      <t xml:space="preserve">RDU </t>
    </r>
    <r>
      <rPr>
        <sz val="10"/>
        <color rgb="FF222222"/>
        <rFont val="Noto Sans CJK SC"/>
        <family val="2"/>
      </rPr>
      <t xml:space="preserve">暫時 </t>
    </r>
    <r>
      <rPr>
        <sz val="10"/>
        <color rgb="FF222222"/>
        <rFont val="Arial"/>
        <family val="0"/>
        <charset val="1"/>
      </rPr>
      <t xml:space="preserve">IP — </t>
    </r>
    <r>
      <rPr>
        <sz val="10"/>
        <color rgb="FF222222"/>
        <rFont val="Noto Sans CJK SC"/>
        <family val="2"/>
      </rPr>
      <t xml:space="preserve">中信雲 </t>
    </r>
    <r>
      <rPr>
        <sz val="10"/>
        <color rgb="FF222222"/>
        <rFont val="Arial"/>
        <family val="0"/>
        <charset val="1"/>
      </rPr>
      <t xml:space="preserve">vCenter</t>
    </r>
  </si>
  <si>
    <r>
      <rPr>
        <sz val="10"/>
        <color rgb="FF222222"/>
        <rFont val="Noto Sans CJK SC"/>
        <family val="2"/>
      </rPr>
      <t xml:space="preserve">中信雲 </t>
    </r>
    <r>
      <rPr>
        <sz val="10"/>
        <color rgb="FF222222"/>
        <rFont val="Arial"/>
        <family val="0"/>
        <charset val="1"/>
      </rPr>
      <t xml:space="preserve">Mgmt</t>
    </r>
  </si>
  <si>
    <t xml:space="preserve">Offline Depot Server</t>
  </si>
  <si>
    <r>
      <rPr>
        <sz val="10"/>
        <color rgb="FF222222"/>
        <rFont val="Arial"/>
        <family val="0"/>
        <charset val="1"/>
      </rPr>
      <t xml:space="preserve">HTTPS</t>
    </r>
    <r>
      <rPr>
        <sz val="10"/>
        <color rgb="FF222222"/>
        <rFont val="Noto Sans CJK SC"/>
        <family val="2"/>
      </rPr>
      <t xml:space="preserve">；憑證 </t>
    </r>
    <r>
      <rPr>
        <sz val="10"/>
        <color rgb="FF222222"/>
        <rFont val="Arial"/>
        <family val="0"/>
        <charset val="1"/>
      </rPr>
      <t xml:space="preserve">SAN </t>
    </r>
    <r>
      <rPr>
        <sz val="10"/>
        <color rgb="FF222222"/>
        <rFont val="Noto Sans CJK SC"/>
        <family val="2"/>
      </rPr>
      <t xml:space="preserve">含 </t>
    </r>
    <r>
      <rPr>
        <sz val="10"/>
        <color rgb="FF222222"/>
        <rFont val="Arial"/>
        <family val="0"/>
        <charset val="1"/>
      </rPr>
      <t xml:space="preserve">FQDN + IP</t>
    </r>
  </si>
  <si>
    <r>
      <rPr>
        <b val="true"/>
        <sz val="14"/>
        <color rgb="FF1B1D36"/>
        <rFont val="Noto Sans CJK SC"/>
        <family val="2"/>
      </rPr>
      <t xml:space="preserve">待確認事項（</t>
    </r>
    <r>
      <rPr>
        <b val="true"/>
        <sz val="14"/>
        <color rgb="FF1B1D36"/>
        <rFont val="Arial"/>
        <family val="0"/>
        <charset val="1"/>
      </rPr>
      <t xml:space="preserve">G0 </t>
    </r>
    <r>
      <rPr>
        <b val="true"/>
        <sz val="14"/>
        <color rgb="FF1B1D36"/>
        <rFont val="Noto Sans CJK SC"/>
        <family val="2"/>
      </rPr>
      <t xml:space="preserve">前關閉）</t>
    </r>
  </si>
  <si>
    <t xml:space="preserve">項目</t>
  </si>
  <si>
    <t xml:space="preserve">為什麼重要</t>
  </si>
  <si>
    <t xml:space="preserve">確認方式</t>
  </si>
  <si>
    <t xml:space="preserve">結論</t>
  </si>
  <si>
    <t xml:space="preserve">Enhanced Linked Mode</t>
  </si>
  <si>
    <r>
      <rPr>
        <sz val="10"/>
        <color rgb="FF222222"/>
        <rFont val="Arial"/>
        <family val="0"/>
        <charset val="1"/>
      </rPr>
      <t xml:space="preserve">converge </t>
    </r>
    <r>
      <rPr>
        <sz val="10"/>
        <color rgb="FF222222"/>
        <rFont val="Noto Sans CJK SC"/>
        <family val="2"/>
      </rPr>
      <t xml:space="preserve">與 </t>
    </r>
    <r>
      <rPr>
        <sz val="10"/>
        <color rgb="FF222222"/>
        <rFont val="Arial"/>
        <family val="0"/>
        <charset val="1"/>
      </rPr>
      <t xml:space="preserve">import </t>
    </r>
    <r>
      <rPr>
        <sz val="10"/>
        <color rgb="FF222222"/>
        <rFont val="Noto Sans CJK SC"/>
        <family val="2"/>
      </rPr>
      <t xml:space="preserve">都不支援 </t>
    </r>
    <r>
      <rPr>
        <sz val="10"/>
        <color rgb="FF222222"/>
        <rFont val="Arial"/>
        <family val="0"/>
        <charset val="1"/>
      </rPr>
      <t xml:space="preserve">ELM</t>
    </r>
  </si>
  <si>
    <t xml:space="preserve">客戶確認</t>
  </si>
  <si>
    <r>
      <rPr>
        <sz val="10"/>
        <color rgb="FF222222"/>
        <rFont val="Noto Sans CJK SC"/>
        <family val="2"/>
      </rPr>
      <t xml:space="preserve">三套 </t>
    </r>
    <r>
      <rPr>
        <sz val="10"/>
        <color rgb="FF222222"/>
        <rFont val="Arial"/>
        <family val="0"/>
        <charset val="1"/>
      </rPr>
      <t xml:space="preserve">vCenter </t>
    </r>
    <r>
      <rPr>
        <sz val="10"/>
        <color rgb="FF222222"/>
        <rFont val="Noto Sans CJK SC"/>
        <family val="2"/>
      </rPr>
      <t xml:space="preserve">皆無 </t>
    </r>
    <r>
      <rPr>
        <sz val="10"/>
        <color rgb="FF222222"/>
        <rFont val="Arial"/>
        <family val="0"/>
        <charset val="1"/>
      </rPr>
      <t xml:space="preserve">ELM</t>
    </r>
  </si>
  <si>
    <t xml:space="preserve">2026-10-07</t>
  </si>
  <si>
    <r>
      <rPr>
        <sz val="10"/>
        <color rgb="FF222222"/>
        <rFont val="Arial"/>
        <family val="0"/>
        <charset val="1"/>
      </rPr>
      <t xml:space="preserve">vRA </t>
    </r>
    <r>
      <rPr>
        <sz val="10"/>
        <color rgb="FF222222"/>
        <rFont val="Noto Sans CJK SC"/>
        <family val="2"/>
      </rPr>
      <t xml:space="preserve">確切版本 </t>
    </r>
    <r>
      <rPr>
        <sz val="10"/>
        <color rgb="FF222222"/>
        <rFont val="Arial"/>
        <family val="0"/>
        <charset val="1"/>
      </rPr>
      <t xml:space="preserve">/ patch</t>
    </r>
  </si>
  <si>
    <r>
      <rPr>
        <sz val="10"/>
        <color rgb="FF222222"/>
        <rFont val="Arial"/>
        <family val="0"/>
        <charset val="1"/>
      </rPr>
      <t xml:space="preserve">converge </t>
    </r>
    <r>
      <rPr>
        <sz val="10"/>
        <color rgb="FF222222"/>
        <rFont val="Noto Sans CJK SC"/>
        <family val="2"/>
      </rPr>
      <t xml:space="preserve">情境頁要求 </t>
    </r>
    <r>
      <rPr>
        <sz val="10"/>
        <color rgb="FF222222"/>
        <rFont val="Arial"/>
        <family val="0"/>
        <charset val="1"/>
      </rPr>
      <t xml:space="preserve">8.18.1 P3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import </t>
    </r>
    <r>
      <rPr>
        <sz val="10"/>
        <color rgb="FF222222"/>
        <rFont val="Noto Sans CJK SC"/>
        <family val="2"/>
      </rPr>
      <t xml:space="preserve">頁為 </t>
    </r>
    <r>
      <rPr>
        <sz val="10"/>
        <color rgb="FF222222"/>
        <rFont val="Arial"/>
        <family val="0"/>
        <charset val="1"/>
      </rPr>
      <t xml:space="preserve">8.18.1+</t>
    </r>
  </si>
  <si>
    <t xml:space="preserve">待確認</t>
  </si>
  <si>
    <r>
      <rPr>
        <sz val="10"/>
        <color rgb="FF222222"/>
        <rFont val="Arial"/>
        <family val="0"/>
        <charset val="1"/>
      </rPr>
      <t xml:space="preserve">vRO </t>
    </r>
    <r>
      <rPr>
        <sz val="10"/>
        <color rgb="FF222222"/>
        <rFont val="Noto Sans CJK SC"/>
        <family val="2"/>
      </rPr>
      <t xml:space="preserve">實際版本</t>
    </r>
  </si>
  <si>
    <r>
      <rPr>
        <sz val="10"/>
        <color rgb="FF222222"/>
        <rFont val="Noto Sans CJK SC"/>
        <family val="2"/>
      </rPr>
      <t xml:space="preserve">「</t>
    </r>
    <r>
      <rPr>
        <sz val="10"/>
        <color rgb="FF222222"/>
        <rFont val="Arial"/>
        <family val="0"/>
        <charset val="1"/>
      </rPr>
      <t xml:space="preserve">8.18.7</t>
    </r>
    <r>
      <rPr>
        <sz val="10"/>
        <color rgb="FF222222"/>
        <rFont val="Noto Sans CJK SC"/>
        <family val="2"/>
      </rPr>
      <t xml:space="preserve">」查無此 </t>
    </r>
    <r>
      <rPr>
        <sz val="10"/>
        <color rgb="FF222222"/>
        <rFont val="Arial"/>
        <family val="0"/>
        <charset val="1"/>
      </rPr>
      <t xml:space="preserve">Orchestrator </t>
    </r>
    <r>
      <rPr>
        <sz val="10"/>
        <color rgb="FF222222"/>
        <rFont val="Noto Sans CJK SC"/>
        <family val="2"/>
      </rPr>
      <t xml:space="preserve">版號；升級來源需 ≥ </t>
    </r>
    <r>
      <rPr>
        <sz val="10"/>
        <color rgb="FF222222"/>
        <rFont val="Arial"/>
        <family val="0"/>
        <charset val="1"/>
      </rPr>
      <t xml:space="preserve">8.18.1</t>
    </r>
  </si>
  <si>
    <r>
      <rPr>
        <sz val="10"/>
        <color rgb="FF222222"/>
        <rFont val="Arial"/>
        <family val="0"/>
        <charset val="1"/>
      </rPr>
      <t xml:space="preserve">vIDM / Aria Suite Lifecycle </t>
    </r>
    <r>
      <rPr>
        <sz val="10"/>
        <color rgb="FF222222"/>
        <rFont val="Noto Sans CJK SC"/>
        <family val="2"/>
      </rPr>
      <t xml:space="preserve">位置與版本</t>
    </r>
  </si>
  <si>
    <r>
      <rPr>
        <sz val="10"/>
        <color rgb="FF222222"/>
        <rFont val="Arial"/>
        <family val="0"/>
        <charset val="1"/>
      </rPr>
      <t xml:space="preserve">vIDM </t>
    </r>
    <r>
      <rPr>
        <sz val="10"/>
        <color rgb="FF222222"/>
        <rFont val="Noto Sans CJK SC"/>
        <family val="2"/>
      </rPr>
      <t xml:space="preserve">升級後仍是 </t>
    </r>
    <r>
      <rPr>
        <sz val="10"/>
        <color rgb="FF222222"/>
        <rFont val="Arial"/>
        <family val="0"/>
        <charset val="1"/>
      </rPr>
      <t xml:space="preserve">VCFA </t>
    </r>
    <r>
      <rPr>
        <sz val="10"/>
        <color rgb="FF222222"/>
        <rFont val="Noto Sans CJK SC"/>
        <family val="2"/>
      </rPr>
      <t xml:space="preserve">驗證來源；是否隨 </t>
    </r>
    <r>
      <rPr>
        <sz val="10"/>
        <color rgb="FF222222"/>
        <rFont val="Arial"/>
        <family val="0"/>
        <charset val="1"/>
      </rPr>
      <t xml:space="preserve">vRA </t>
    </r>
    <r>
      <rPr>
        <sz val="10"/>
        <color rgb="FF222222"/>
        <rFont val="Noto Sans CJK SC"/>
        <family val="2"/>
      </rPr>
      <t xml:space="preserve">一起搬</t>
    </r>
  </si>
  <si>
    <t xml:space="preserve">vSphere inventory</t>
  </si>
  <si>
    <t xml:space="preserve">vCenter HA</t>
  </si>
  <si>
    <r>
      <rPr>
        <sz val="10"/>
        <color rgb="FF222222"/>
        <rFont val="Arial"/>
        <family val="0"/>
        <charset val="1"/>
      </rPr>
      <t xml:space="preserve">converge </t>
    </r>
    <r>
      <rPr>
        <sz val="10"/>
        <color rgb="FF222222"/>
        <rFont val="Noto Sans CJK SC"/>
        <family val="2"/>
      </rPr>
      <t xml:space="preserve">與 </t>
    </r>
    <r>
      <rPr>
        <sz val="10"/>
        <color rgb="FF222222"/>
        <rFont val="Arial"/>
        <family val="0"/>
        <charset val="1"/>
      </rPr>
      <t xml:space="preserve">import </t>
    </r>
    <r>
      <rPr>
        <sz val="10"/>
        <color rgb="FF222222"/>
        <rFont val="Noto Sans CJK SC"/>
        <family val="2"/>
      </rPr>
      <t xml:space="preserve">都不支援 </t>
    </r>
    <r>
      <rPr>
        <sz val="10"/>
        <color rgb="FF222222"/>
        <rFont val="Arial"/>
        <family val="0"/>
        <charset val="1"/>
      </rPr>
      <t xml:space="preserve">VCHA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ELM </t>
    </r>
    <r>
      <rPr>
        <sz val="10"/>
        <color rgb="FF222222"/>
        <rFont val="Noto Sans CJK SC"/>
        <family val="2"/>
      </rPr>
      <t xml:space="preserve">已於 </t>
    </r>
    <r>
      <rPr>
        <sz val="10"/>
        <color rgb="FF222222"/>
        <rFont val="Arial"/>
        <family val="0"/>
        <charset val="1"/>
      </rPr>
      <t xml:space="preserve">10/7 </t>
    </r>
    <r>
      <rPr>
        <sz val="10"/>
        <color rgb="FF222222"/>
        <rFont val="Noto Sans CJK SC"/>
        <family val="2"/>
      </rPr>
      <t xml:space="preserve">確認沒有）</t>
    </r>
  </si>
  <si>
    <r>
      <rPr>
        <sz val="10"/>
        <color rgb="FF222222"/>
        <rFont val="Noto Sans CJK SC"/>
        <family val="2"/>
      </rPr>
      <t xml:space="preserve">兩朵雲 </t>
    </r>
    <r>
      <rPr>
        <sz val="10"/>
        <color rgb="FF222222"/>
        <rFont val="Arial"/>
        <family val="0"/>
        <charset val="1"/>
      </rPr>
      <t xml:space="preserve">8.0.3 </t>
    </r>
    <r>
      <rPr>
        <sz val="10"/>
        <color rgb="FF222222"/>
        <rFont val="Noto Sans CJK SC"/>
        <family val="2"/>
      </rPr>
      <t xml:space="preserve">確切 </t>
    </r>
    <r>
      <rPr>
        <sz val="10"/>
        <color rgb="FF222222"/>
        <rFont val="Arial"/>
        <family val="0"/>
        <charset val="1"/>
      </rPr>
      <t xml:space="preserve">build</t>
    </r>
  </si>
  <si>
    <r>
      <rPr>
        <sz val="10"/>
        <color rgb="FF222222"/>
        <rFont val="Arial"/>
        <family val="0"/>
        <charset val="1"/>
      </rPr>
      <t xml:space="preserve">8.0U3j → 9.1.0 </t>
    </r>
    <r>
      <rPr>
        <sz val="10"/>
        <color rgb="FF222222"/>
        <rFont val="Noto Sans CJK SC"/>
        <family val="2"/>
      </rPr>
      <t xml:space="preserve">不支援、→ </t>
    </r>
    <r>
      <rPr>
        <sz val="10"/>
        <color rgb="FF222222"/>
        <rFont val="Arial"/>
        <family val="0"/>
        <charset val="1"/>
      </rPr>
      <t xml:space="preserve">9.1.1 </t>
    </r>
    <r>
      <rPr>
        <sz val="10"/>
        <color rgb="FF222222"/>
        <rFont val="Noto Sans CJK SC"/>
        <family val="2"/>
      </rPr>
      <t xml:space="preserve">支援；</t>
    </r>
    <r>
      <rPr>
        <sz val="10"/>
        <color rgb="FF222222"/>
        <rFont val="Arial"/>
        <family val="0"/>
        <charset val="1"/>
      </rPr>
      <t xml:space="preserve">8.0U3k </t>
    </r>
    <r>
      <rPr>
        <sz val="10"/>
        <color rgb="FF222222"/>
        <rFont val="Noto Sans CJK SC"/>
        <family val="2"/>
      </rPr>
      <t xml:space="preserve">需查 </t>
    </r>
    <r>
      <rPr>
        <sz val="10"/>
        <color rgb="FF222222"/>
        <rFont val="Arial"/>
        <family val="0"/>
        <charset val="1"/>
      </rPr>
      <t xml:space="preserve">Interop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KB 450972 back-in-time</t>
    </r>
    <r>
      <rPr>
        <sz val="10"/>
        <color rgb="FF222222"/>
        <rFont val="Noto Sans CJK SC"/>
        <family val="2"/>
      </rPr>
      <t xml:space="preserve">）</t>
    </r>
  </si>
  <si>
    <t xml:space="preserve">VAMI / esxcli</t>
  </si>
  <si>
    <r>
      <rPr>
        <sz val="10"/>
        <color rgb="FF222222"/>
        <rFont val="Arial"/>
        <family val="0"/>
        <charset val="1"/>
      </rPr>
      <t xml:space="preserve">SRM </t>
    </r>
    <r>
      <rPr>
        <sz val="10"/>
        <color rgb="FF222222"/>
        <rFont val="Noto Sans CJK SC"/>
        <family val="2"/>
      </rPr>
      <t xml:space="preserve">配對拓樸</t>
    </r>
  </si>
  <si>
    <r>
      <rPr>
        <sz val="10"/>
        <color rgb="FF222222"/>
        <rFont val="Noto Sans CJK SC"/>
        <family val="2"/>
      </rPr>
      <t xml:space="preserve">兩朵雲是否互為配對、</t>
    </r>
    <r>
      <rPr>
        <sz val="10"/>
        <color rgb="FF222222"/>
        <rFont val="Arial"/>
        <family val="0"/>
        <charset val="1"/>
      </rPr>
      <t xml:space="preserve">PG </t>
    </r>
    <r>
      <rPr>
        <sz val="10"/>
        <color rgb="FF222222"/>
        <rFont val="Noto Sans CJK SC"/>
        <family val="2"/>
      </rPr>
      <t xml:space="preserve">方向、</t>
    </r>
    <r>
      <rPr>
        <sz val="10"/>
        <color rgb="FF222222"/>
        <rFont val="Arial"/>
        <family val="0"/>
        <charset val="1"/>
      </rPr>
      <t xml:space="preserve">replication </t>
    </r>
    <r>
      <rPr>
        <sz val="10"/>
        <color rgb="FF222222"/>
        <rFont val="Noto Sans CJK SC"/>
        <family val="2"/>
      </rPr>
      <t xml:space="preserve">方式 → 決定先升哪一站</t>
    </r>
  </si>
  <si>
    <r>
      <rPr>
        <sz val="10"/>
        <color rgb="FF222222"/>
        <rFont val="Arial"/>
        <family val="0"/>
        <charset val="1"/>
      </rPr>
      <t xml:space="preserve">WLD import </t>
    </r>
    <r>
      <rPr>
        <sz val="10"/>
        <color rgb="FF222222"/>
        <rFont val="Noto Sans CJK SC"/>
        <family val="2"/>
      </rPr>
      <t xml:space="preserve">方案 </t>
    </r>
    <r>
      <rPr>
        <sz val="10"/>
        <color rgb="FF222222"/>
        <rFont val="Arial"/>
        <family val="0"/>
        <charset val="1"/>
      </rPr>
      <t xml:space="preserve">A / B</t>
    </r>
  </si>
  <si>
    <r>
      <rPr>
        <sz val="10"/>
        <color rgb="FF222222"/>
        <rFont val="Arial"/>
        <family val="0"/>
        <charset val="1"/>
      </rPr>
      <t xml:space="preserve">A</t>
    </r>
    <r>
      <rPr>
        <sz val="10"/>
        <color rgb="FF222222"/>
        <rFont val="Noto Sans CJK SC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import 8.0.3</t>
    </r>
    <r>
      <rPr>
        <sz val="10"/>
        <color rgb="FF222222"/>
        <rFont val="Noto Sans CJK SC"/>
        <family val="2"/>
      </rPr>
      <t xml:space="preserve">（自建 </t>
    </r>
    <r>
      <rPr>
        <sz val="10"/>
        <color rgb="FF222222"/>
        <rFont val="Arial"/>
        <family val="0"/>
        <charset val="1"/>
      </rPr>
      <t xml:space="preserve">3-node NSX 4.2</t>
    </r>
    <r>
      <rPr>
        <sz val="10"/>
        <color rgb="FF222222"/>
        <rFont val="Noto Sans CJK SC"/>
        <family val="2"/>
      </rPr>
      <t xml:space="preserve">）／</t>
    </r>
    <r>
      <rPr>
        <sz val="10"/>
        <color rgb="FF222222"/>
        <rFont val="Arial"/>
        <family val="0"/>
        <charset val="1"/>
      </rPr>
      <t xml:space="preserve">B</t>
    </r>
    <r>
      <rPr>
        <sz val="10"/>
        <color rgb="FF222222"/>
        <rFont val="Noto Sans CJK SC"/>
        <family val="2"/>
      </rPr>
      <t xml:space="preserve">：先升 </t>
    </r>
    <r>
      <rPr>
        <sz val="10"/>
        <color rgb="FF222222"/>
        <rFont val="Arial"/>
        <family val="0"/>
        <charset val="1"/>
      </rPr>
      <t xml:space="preserve">vCenter </t>
    </r>
    <r>
      <rPr>
        <sz val="10"/>
        <color rgb="FF222222"/>
        <rFont val="Noto Sans CJK SC"/>
        <family val="2"/>
      </rPr>
      <t xml:space="preserve">再 </t>
    </r>
    <r>
      <rPr>
        <sz val="10"/>
        <color rgb="FF222222"/>
        <rFont val="Arial"/>
        <family val="0"/>
        <charset val="1"/>
      </rPr>
      <t xml:space="preserve">import </t>
    </r>
    <r>
      <rPr>
        <sz val="10"/>
        <color rgb="FF222222"/>
        <rFont val="Noto Sans CJK SC"/>
        <family val="2"/>
      </rPr>
      <t xml:space="preserve">共用 </t>
    </r>
    <r>
      <rPr>
        <sz val="10"/>
        <color rgb="FF222222"/>
        <rFont val="Arial"/>
        <family val="0"/>
        <charset val="1"/>
      </rPr>
      <t xml:space="preserve">NSX</t>
    </r>
    <r>
      <rPr>
        <sz val="10"/>
        <color rgb="FF222222"/>
        <rFont val="Noto Sans CJK SC"/>
        <family val="2"/>
      </rPr>
      <t xml:space="preserve">（建議）</t>
    </r>
  </si>
  <si>
    <t xml:space="preserve">設計會議</t>
  </si>
  <si>
    <r>
      <rPr>
        <sz val="10"/>
        <color rgb="FF222222"/>
        <rFont val="Arial"/>
        <family val="0"/>
        <charset val="1"/>
      </rPr>
      <t xml:space="preserve">ARC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PM</t>
    </r>
  </si>
  <si>
    <r>
      <rPr>
        <sz val="10"/>
        <color rgb="FF222222"/>
        <rFont val="Arial"/>
        <family val="0"/>
        <charset val="1"/>
      </rPr>
      <t xml:space="preserve">Management Cluster </t>
    </r>
    <r>
      <rPr>
        <sz val="10"/>
        <color rgb="FF222222"/>
        <rFont val="Noto Sans CJK SC"/>
        <family val="2"/>
      </rPr>
      <t xml:space="preserve">網段與容量</t>
    </r>
  </si>
  <si>
    <r>
      <rPr>
        <sz val="10"/>
        <color rgb="FF222222"/>
        <rFont val="Noto Sans CJK SC"/>
        <family val="2"/>
      </rPr>
      <t xml:space="preserve">需提供 </t>
    </r>
    <r>
      <rPr>
        <sz val="10"/>
        <color rgb="FF222222"/>
        <rFont val="Arial"/>
        <family val="0"/>
        <charset val="1"/>
      </rPr>
      <t xml:space="preserve">vRA </t>
    </r>
    <r>
      <rPr>
        <sz val="10"/>
        <color rgb="FF222222"/>
        <rFont val="Noto Sans CJK SC"/>
        <family val="2"/>
      </rPr>
      <t xml:space="preserve">同 </t>
    </r>
    <r>
      <rPr>
        <sz val="10"/>
        <color rgb="FF222222"/>
        <rFont val="Arial"/>
        <family val="0"/>
        <charset val="1"/>
      </rPr>
      <t xml:space="preserve">L2 </t>
    </r>
    <r>
      <rPr>
        <sz val="10"/>
        <color rgb="FF222222"/>
        <rFont val="Noto Sans CJK SC"/>
        <family val="2"/>
      </rPr>
      <t xml:space="preserve">網段；</t>
    </r>
    <r>
      <rPr>
        <sz val="10"/>
        <color rgb="FF222222"/>
        <rFont val="Arial"/>
        <family val="0"/>
        <charset val="1"/>
      </rPr>
      <t xml:space="preserve">VCFA </t>
    </r>
    <r>
      <rPr>
        <sz val="10"/>
        <color rgb="FF222222"/>
        <rFont val="Noto Sans CJK SC"/>
        <family val="2"/>
      </rPr>
      <t xml:space="preserve">藍綠期間資源約 </t>
    </r>
    <r>
      <rPr>
        <sz val="10"/>
        <color rgb="FF222222"/>
        <rFont val="Arial"/>
        <family val="0"/>
        <charset val="1"/>
      </rPr>
      <t xml:space="preserve">2 </t>
    </r>
    <r>
      <rPr>
        <sz val="10"/>
        <color rgb="FF222222"/>
        <rFont val="Noto Sans CJK SC"/>
        <family val="2"/>
      </rPr>
      <t xml:space="preserve">倍</t>
    </r>
  </si>
  <si>
    <r>
      <rPr>
        <sz val="10"/>
        <color rgb="FF222222"/>
        <rFont val="Noto Sans CJK SC"/>
        <family val="2"/>
      </rPr>
      <t xml:space="preserve">網路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CJK SC"/>
        <family val="2"/>
      </rPr>
      <t xml:space="preserve">容量盤點</t>
    </r>
  </si>
  <si>
    <r>
      <rPr>
        <sz val="10"/>
        <color rgb="FF222222"/>
        <rFont val="Arial"/>
        <family val="0"/>
        <charset val="1"/>
      </rPr>
      <t xml:space="preserve">NET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ARC</t>
    </r>
  </si>
  <si>
    <r>
      <rPr>
        <sz val="10"/>
        <color rgb="FF222222"/>
        <rFont val="Arial"/>
        <family val="0"/>
        <charset val="1"/>
      </rPr>
      <t xml:space="preserve">VCF Operations </t>
    </r>
    <r>
      <rPr>
        <sz val="10"/>
        <color rgb="FF222222"/>
        <rFont val="Noto Sans CJK SC"/>
        <family val="2"/>
      </rPr>
      <t xml:space="preserve">新部署或沿用</t>
    </r>
  </si>
  <si>
    <r>
      <rPr>
        <sz val="10"/>
        <color rgb="FF222222"/>
        <rFont val="Arial"/>
        <family val="0"/>
        <charset val="1"/>
      </rPr>
      <t xml:space="preserve">9.1.1 </t>
    </r>
    <r>
      <rPr>
        <sz val="10"/>
        <color rgb="FF222222"/>
        <rFont val="Noto Sans CJK SC"/>
        <family val="2"/>
      </rPr>
      <t xml:space="preserve">起須在第一個 </t>
    </r>
    <r>
      <rPr>
        <sz val="10"/>
        <color rgb="FF222222"/>
        <rFont val="Arial"/>
        <family val="0"/>
        <charset val="1"/>
      </rPr>
      <t xml:space="preserve">Instance </t>
    </r>
    <r>
      <rPr>
        <sz val="10"/>
        <color rgb="FF222222"/>
        <rFont val="Noto Sans CJK SC"/>
        <family val="2"/>
      </rPr>
      <t xml:space="preserve">管理網域；是否已有 </t>
    </r>
    <r>
      <rPr>
        <sz val="10"/>
        <color rgb="FF222222"/>
        <rFont val="Arial"/>
        <family val="0"/>
        <charset val="1"/>
      </rPr>
      <t xml:space="preserve">Aria Operations 8.18</t>
    </r>
  </si>
  <si>
    <t xml:space="preserve">盤點</t>
  </si>
  <si>
    <r>
      <rPr>
        <sz val="10"/>
        <color rgb="FF222222"/>
        <rFont val="Noto Sans CJK SC"/>
        <family val="2"/>
      </rPr>
      <t xml:space="preserve">過渡期 </t>
    </r>
    <r>
      <rPr>
        <sz val="10"/>
        <color rgb="FF222222"/>
        <rFont val="Arial"/>
        <family val="0"/>
        <charset val="1"/>
      </rPr>
      <t xml:space="preserve">interop</t>
    </r>
  </si>
  <si>
    <r>
      <rPr>
        <sz val="10"/>
        <color rgb="FF222222"/>
        <rFont val="Arial"/>
        <family val="0"/>
        <charset val="1"/>
      </rPr>
      <t xml:space="preserve">Interop </t>
    </r>
    <r>
      <rPr>
        <sz val="10"/>
        <color rgb="FF222222"/>
        <rFont val="Noto Sans CJK SC"/>
        <family val="2"/>
      </rPr>
      <t xml:space="preserve">對 </t>
    </r>
    <r>
      <rPr>
        <sz val="10"/>
        <color rgb="FF222222"/>
        <rFont val="Arial"/>
        <family val="0"/>
        <charset val="1"/>
      </rPr>
      <t xml:space="preserve">Aria Automation 8.18 ↔ vCenter / ESX 9.x </t>
    </r>
    <r>
      <rPr>
        <sz val="10"/>
        <color rgb="FF222222"/>
        <rFont val="Noto Sans CJK SC"/>
        <family val="2"/>
      </rPr>
      <t xml:space="preserve">標 </t>
    </r>
    <r>
      <rPr>
        <sz val="10"/>
        <color rgb="FF222222"/>
        <rFont val="Arial"/>
        <family val="0"/>
        <charset val="1"/>
      </rPr>
      <t xml:space="preserve">Not Supported</t>
    </r>
    <r>
      <rPr>
        <sz val="10"/>
        <color rgb="FF222222"/>
        <rFont val="Noto Sans CJK SC"/>
        <family val="2"/>
      </rPr>
      <t xml:space="preserve">（推定指 </t>
    </r>
    <r>
      <rPr>
        <sz val="10"/>
        <color rgb="FF222222"/>
        <rFont val="Arial"/>
        <family val="0"/>
        <charset val="1"/>
      </rPr>
      <t xml:space="preserve">endpoint</t>
    </r>
    <r>
      <rPr>
        <sz val="10"/>
        <color rgb="FF222222"/>
        <rFont val="Noto Sans CJK SC"/>
        <family val="2"/>
      </rPr>
      <t xml:space="preserve">）；過渡期盡量縮短、必要時開 </t>
    </r>
    <r>
      <rPr>
        <sz val="10"/>
        <color rgb="FF222222"/>
        <rFont val="Arial"/>
        <family val="0"/>
        <charset val="1"/>
      </rPr>
      <t xml:space="preserve">SR </t>
    </r>
    <r>
      <rPr>
        <sz val="10"/>
        <color rgb="FF222222"/>
        <rFont val="Noto Sans CJK SC"/>
        <family val="2"/>
      </rPr>
      <t xml:space="preserve">確認</t>
    </r>
  </si>
  <si>
    <t xml:space="preserve">Interop Matrix / SR</t>
  </si>
  <si>
    <r>
      <rPr>
        <sz val="10"/>
        <color rgb="FF222222"/>
        <rFont val="Arial"/>
        <family val="0"/>
        <charset val="1"/>
      </rPr>
      <t xml:space="preserve">vLCM image </t>
    </r>
    <r>
      <rPr>
        <sz val="10"/>
        <color rgb="FF222222"/>
        <rFont val="Noto Sans CJK SC"/>
        <family val="2"/>
      </rPr>
      <t xml:space="preserve">叢集 </t>
    </r>
    <r>
      <rPr>
        <sz val="10"/>
        <color rgb="FF222222"/>
        <rFont val="Arial"/>
        <family val="0"/>
        <charset val="1"/>
      </rPr>
      <t xml:space="preserve">Shift+R </t>
    </r>
    <r>
      <rPr>
        <sz val="10"/>
        <color rgb="FF222222"/>
        <rFont val="Noto Sans CJK SC"/>
        <family val="2"/>
      </rPr>
      <t xml:space="preserve">退版</t>
    </r>
  </si>
  <si>
    <r>
      <rPr>
        <sz val="10"/>
        <color rgb="FF222222"/>
        <rFont val="Arial"/>
        <family val="0"/>
        <charset val="1"/>
      </rPr>
      <t xml:space="preserve">KB 316592 </t>
    </r>
    <r>
      <rPr>
        <sz val="10"/>
        <color rgb="FF222222"/>
        <rFont val="Noto Sans CJK SC"/>
        <family val="2"/>
      </rPr>
      <t xml:space="preserve">未說明對 </t>
    </r>
    <r>
      <rPr>
        <sz val="10"/>
        <color rgb="FF222222"/>
        <rFont val="Arial"/>
        <family val="0"/>
        <charset val="1"/>
      </rPr>
      <t xml:space="preserve">vLCM image </t>
    </r>
    <r>
      <rPr>
        <sz val="10"/>
        <color rgb="FF222222"/>
        <rFont val="Noto Sans CJK SC"/>
        <family val="2"/>
      </rPr>
      <t xml:space="preserve">一致性的影響</t>
    </r>
  </si>
  <si>
    <r>
      <rPr>
        <sz val="10"/>
        <color rgb="FF222222"/>
        <rFont val="Arial"/>
        <family val="0"/>
        <charset val="1"/>
      </rPr>
      <t xml:space="preserve">Lab </t>
    </r>
    <r>
      <rPr>
        <sz val="10"/>
        <color rgb="FF222222"/>
        <rFont val="Noto Sans CJK SC"/>
        <family val="2"/>
      </rPr>
      <t xml:space="preserve">驗證 </t>
    </r>
    <r>
      <rPr>
        <sz val="10"/>
        <color rgb="FF222222"/>
        <rFont val="Arial"/>
        <family val="0"/>
        <charset val="1"/>
      </rPr>
      <t xml:space="preserve">+ SR</t>
    </r>
  </si>
  <si>
    <r>
      <rPr>
        <b val="true"/>
        <sz val="14"/>
        <color rgb="FF1B1D36"/>
        <rFont val="Noto Sans CJK SC"/>
        <family val="2"/>
      </rPr>
      <t xml:space="preserve">官方依據：</t>
    </r>
    <r>
      <rPr>
        <b val="true"/>
        <sz val="14"/>
        <color rgb="FF1B1D36"/>
        <rFont val="Arial"/>
        <family val="0"/>
        <charset val="1"/>
      </rPr>
      <t xml:space="preserve">Broadcom TechDocs </t>
    </r>
    <r>
      <rPr>
        <b val="true"/>
        <sz val="14"/>
        <color rgb="FF1B1D36"/>
        <rFont val="Noto Sans CJK SC"/>
        <family val="2"/>
      </rPr>
      <t xml:space="preserve">與 </t>
    </r>
    <r>
      <rPr>
        <b val="true"/>
        <sz val="14"/>
        <color rgb="FF1B1D36"/>
        <rFont val="Arial"/>
        <family val="0"/>
        <charset val="1"/>
      </rPr>
      <t xml:space="preserve">KB</t>
    </r>
  </si>
  <si>
    <t xml:space="preserve">文件</t>
  </si>
  <si>
    <t xml:space="preserve">URL</t>
  </si>
  <si>
    <t xml:space="preserve">Converge</t>
  </si>
  <si>
    <t xml:space="preserve">Supported and Not Supported Configurations to Converge to VCF</t>
  </si>
  <si>
    <t xml:space="preserve">https://techdocs.broadcom.com/us/en/vmware-cis/vcf/vcf-9-0-and-later/9-1/deployment/converging-your-existing-vsphere-infrastructure-to-a-vcf-or-vvf-platform-/supported-and-not-supported-configurations.html</t>
  </si>
  <si>
    <t xml:space="preserve">Deploy Components by Using VCF Installer to Complete the Converging to VCF Process</t>
  </si>
  <si>
    <t xml:space="preserve">https://techdocs.broadcom.com/us/en/vmware-cis/vcf/vcf-9-0-and-later/9-1/deployment/converging-your-existing-vsphere-infrastructure-to-a-vcf-or-vvf-platform-/use-existing-vsphere-infrastructure-to-create-a-new-vcf-fleet-or-a-new-vcf-instance-using-the-deployment-wizard.html</t>
  </si>
  <si>
    <t xml:space="preserve">Converge vCenter, ESX Hosts, Aria Suite Lifecycle and Aria Automation</t>
  </si>
  <si>
    <t xml:space="preserve">https://techdocs.broadcom.com/us/en/vmware-cis/vcf/vcf-9-0-and-later/9-1/deployment/converging-your-existing-vsphere-infrastructure-to-a-vcf-or-vvf-platform-/supported-scenarios-to-converge-to-vcf/converge-your-existing-vcenter-instance-esx-hosts-vrealize-suite-lifecycle-manager-and-vmware-aria-automation.html</t>
  </si>
  <si>
    <t xml:space="preserve">Depot</t>
  </si>
  <si>
    <t xml:space="preserve">https://techdocs.broadcom.com/us/en/vmware-cis/vcf/vcf-9-0-and-later/9-1/deployment/deploying-a-new-vmware-cloud-foundation-or-vmware-vsphere-foundation-private-cloud-/preparing-your-environment/downloading-binaries-to-the-vcf-installer-appliance.html</t>
  </si>
  <si>
    <t xml:space="preserve">Connect VCF Installer to Broadcom or an Offline Depot</t>
  </si>
  <si>
    <t xml:space="preserve">https://techdocs.broadcom.com/us/en/vmware-cis/vcf/vcf-9-0-and-later/9-1/deployment/deploying-a-new-vmware-cloud-foundation-or-vmware-vsphere-foundation-private-cloud-/preparing-your-environment/downloading-binaries-to-the-vcf-installer-appliance/connect-to-an-online-depot-to-download-binaries.html</t>
  </si>
  <si>
    <t xml:space="preserve">Connect SDDC Manager to a Software Depot</t>
  </si>
  <si>
    <t xml:space="preserve">https://techdocs.broadcom.com/us/en/vmware-cis/vcf/vcf-9-0-and-later/9-1/lifecycle-management/binary-management-for-vmware-cloud-foundation/connect-sddc-manager-to-a-software-depot-for-downloading-bundles.html</t>
  </si>
  <si>
    <t xml:space="preserve">Automation</t>
  </si>
  <si>
    <t xml:space="preserve">Import an Existing VMware Aria Automation Instance in VCF Operations</t>
  </si>
  <si>
    <t xml:space="preserve">https://techdocs.broadcom.com/us/en/vmware-cis/vcf/vcf-9-0-and-later/9-1/deployment/upgrading-cloud-foundation/phase-3-import-and-upgrade-aria-automation-8-to-vcf-automation-9/import-an-existing-vmware-aria-automation-instance-in-vcf-operations.html</t>
  </si>
  <si>
    <t xml:space="preserve">https://techdocs.broadcom.com/us/en/vmware-cis/vcf/vcf-9-0-and-later/9-1/deployment/upgrading-cloud-foundation/phase-3-import-and-upgrade-aria-automation-8-to-vcf-automation-9.html</t>
  </si>
  <si>
    <t xml:space="preserve">Perform the Upgrade to VCF Automation 9.1</t>
  </si>
  <si>
    <t xml:space="preserve">https://techdocs.broadcom.com/us/en/vmware-cis/vcf/vcf-9-0-and-later/9-1/deployment/upgrading-cloud-foundation/phase-3-import-and-upgrade-aria-automation-8-to-vcf-automation-9/upgrade-to-vcf-automation.html</t>
  </si>
  <si>
    <t xml:space="preserve">Migrate VCF Automation SSO from vIDM to VCF Identity Broker</t>
  </si>
  <si>
    <t xml:space="preserve">https://techdocs.broadcom.com/us/en/vmware-cis/vcf/vcf-9-0-and-later/9-1/deployment/upgrading-cloud-foundation/phase-3-import-and-upgrade-aria-automation-8-to-vcf-automation-9/migrate-vcf-automation-single-sign-on-configuration-from-vmware-identity-manager-to-vcf-identity-broker.html</t>
  </si>
  <si>
    <t xml:space="preserve">Orchestrator</t>
  </si>
  <si>
    <t xml:space="preserve">Upgrade to VCF Operations Orchestrator 9.1</t>
  </si>
  <si>
    <t xml:space="preserve">https://techdocs.broadcom.com/us/en/vmware-cis/vcf/vcf-9-0-and-later/9-1/deployment/upgrading-cloud-foundation/upgrade-a-standalone-or-clustered-vrealize-orchestrator-8-0-1-deployment-with-iso-image.html</t>
  </si>
  <si>
    <t xml:space="preserve">Configure VCF Operations Orchestrator for VCF Automation VM Apps Organizations</t>
  </si>
  <si>
    <t xml:space="preserve">https://techdocs.broadcom.com/us/en/vmware-cis/vcf/vcf-9-0-and-later/9-1/deployment/deploying-a-new-vmware-cloud-foundation-or-vmware-vsphere-foundation-private-cloud-/manual-deployment-of-components-to-complete-your-vcf-platform/download-and-deploy-the-vco-va/integrate-vcf-operations-orchestrator-with-vcf-automation-for-vm-apps.html</t>
  </si>
  <si>
    <t xml:space="preserve">Upgrade</t>
  </si>
  <si>
    <r>
      <rPr>
        <sz val="10"/>
        <color rgb="FF222222"/>
        <rFont val="Arial"/>
        <family val="0"/>
        <charset val="1"/>
      </rPr>
      <t xml:space="preserve">Upgrading to VCF 9.1.x</t>
    </r>
    <r>
      <rPr>
        <sz val="10"/>
        <color rgb="FF222222"/>
        <rFont val="Noto Sans CJK SC"/>
        <family val="2"/>
      </rPr>
      <t xml:space="preserve">（元件升級順序）</t>
    </r>
  </si>
  <si>
    <t xml:space="preserve">https://techdocs.broadcom.com/us/en/vmware-cis/vcf/vcf-9-0-and-later/9-1/deployment/upgrading-cloud-foundation.html</t>
  </si>
  <si>
    <t xml:space="preserve">Import WLD</t>
  </si>
  <si>
    <t xml:space="preserve">Import an Existing vCenter to Create a Workload Domain</t>
  </si>
  <si>
    <t xml:space="preserve">https://techdocs.broadcom.com/us/en/vmware-cis/vcf/vcf-9-0-and-later/9-1/building-your-private-cloud-infrastructure/working-with-workload-domains/import-an-existing-vcenter-to-create-a-workload-domain.html</t>
  </si>
  <si>
    <t xml:space="preserve">Upgrading VCF Workload Domains to 9.1.x</t>
  </si>
  <si>
    <t xml:space="preserve">https://techdocs.broadcom.com/us/en/vmware-cis/vcf/vcf-9-0-and-later/9-1/lifecycle-management/upgrade-workload-domains-to-vcf-5-2.html</t>
  </si>
  <si>
    <t xml:space="preserve">vMotion</t>
  </si>
  <si>
    <t xml:space="preserve">Import or Clone a VM with Advanced Cross vCenter vMotion (vSphere 9.1)</t>
  </si>
  <si>
    <t xml:space="preserve">https://techdocs.broadcom.com/us/en/vmware-cis/vsphere/vsphere/9-1/vcenter-and-host-management/migrating-virtual-machines/vmotion-across-vcenter-server-systems/migrate-a-virtual-machine-from-an-external-vcenter-server-instance.html</t>
  </si>
  <si>
    <t xml:space="preserve">SRM</t>
  </si>
  <si>
    <t xml:space="preserve">Protection and Recovery 9.1.1.0 Release Notes</t>
  </si>
  <si>
    <t xml:space="preserve">https://techdocs.broadcom.com/us/en/vmware-cis/vcf/protection-and-recovery/9-1/release-notes/protection-and-recovery-9110-release-notes.html</t>
  </si>
  <si>
    <t xml:space="preserve">Order of Upgrading vSphere and Protection and Recovery Components</t>
  </si>
  <si>
    <t xml:space="preserve">https://techdocs.broadcom.com/us/en/vmware-cis/vcf/protection-and-recovery/9-1/protection-and-recovery-installation/setting-up-vmware-live-site-recovery-overview/convergence-and-upgrade/upgrading-srm/order-of-upgrading-vsphere-and-srm-components.html</t>
  </si>
  <si>
    <t xml:space="preserve">Reconfigure the Connection Between Sites</t>
  </si>
  <si>
    <t xml:space="preserve">https://techdocs.broadcom.com/us/en/vmware-cis/vcf/protection-and-recovery/9-1/protection-and-recovery-installation/setting-up-vmware-live-site-recovery-overview/reconfiguring-the-site-recovery-manager-virtual-appliance/reconfigure-the-connection-between-sites.html</t>
  </si>
  <si>
    <t xml:space="preserve">Release</t>
  </si>
  <si>
    <t xml:space="preserve">VMware Cloud Foundation 9.1.1.0 Release Notes</t>
  </si>
  <si>
    <t xml:space="preserve">https://techdocs.broadcom.com/us/en/vmware-cis/vcf/vcf-9-0-and-later/9-1/release-notes/vmware-cloud-foundation-9-1-1-0-release-notes.html</t>
  </si>
  <si>
    <t xml:space="preserve">VMware Cloud Foundation 9.1.1.0 Bill of Materials</t>
  </si>
  <si>
    <t xml:space="preserve">https://techdocs.broadcom.com/us/en/vmware-cis/vcf/vcf-9-0-and-later/9-1/release-notes/vmware-cloud-foundation-9-1-1-0-release-notes/vmware-cloud-foundation-9-1-1-0-bill-of-material.html</t>
  </si>
  <si>
    <t xml:space="preserve">Interop</t>
  </si>
  <si>
    <t xml:space="preserve">Broadcom Product Interoperability Matrix</t>
  </si>
  <si>
    <t xml:space="preserve">https://interopmatrix.broadcom.com/Interoperability</t>
  </si>
  <si>
    <t xml:space="preserve">Upgrade sequence and related issues for VCF and vSphere Foundation 9.1</t>
  </si>
  <si>
    <t xml:space="preserve">https://knowledge.broadcom.com/external/article/440630</t>
  </si>
  <si>
    <t xml:space="preserve">KB 450972</t>
  </si>
  <si>
    <r>
      <rPr>
        <sz val="10"/>
        <color rgb="FF222222"/>
        <rFont val="Arial"/>
        <family val="0"/>
        <charset val="1"/>
      </rPr>
      <t xml:space="preserve">vSphere / VCF 9.1 Back-in-Time </t>
    </r>
    <r>
      <rPr>
        <sz val="10"/>
        <color rgb="FF222222"/>
        <rFont val="Noto Sans CJK SC"/>
        <family val="2"/>
      </rPr>
      <t xml:space="preserve">支援表（</t>
    </r>
    <r>
      <rPr>
        <sz val="10"/>
        <color rgb="FF222222"/>
        <rFont val="Arial"/>
        <family val="0"/>
        <charset val="1"/>
      </rPr>
      <t xml:space="preserve">8.0U3j/k → 9.1.0 </t>
    </r>
    <r>
      <rPr>
        <sz val="10"/>
        <color rgb="FF222222"/>
        <rFont val="Noto Sans CJK SC"/>
        <family val="2"/>
      </rPr>
      <t xml:space="preserve">不支援升級 </t>
    </r>
    <r>
      <rPr>
        <sz val="10"/>
        <color rgb="FF222222"/>
        <rFont val="Arial"/>
        <family val="0"/>
        <charset val="1"/>
      </rPr>
      <t xml:space="preserve">/ converge</t>
    </r>
    <r>
      <rPr>
        <sz val="10"/>
        <color rgb="FF222222"/>
        <rFont val="Noto Sans CJK SC"/>
        <family val="2"/>
      </rPr>
      <t xml:space="preserve">）</t>
    </r>
  </si>
  <si>
    <t xml:space="preserve">https://knowledge.broadcom.com/external/article/450972</t>
  </si>
  <si>
    <r>
      <rPr>
        <sz val="10"/>
        <color rgb="FF222222"/>
        <rFont val="Arial"/>
        <family val="0"/>
        <charset val="1"/>
      </rPr>
      <t xml:space="preserve">Converge </t>
    </r>
    <r>
      <rPr>
        <sz val="10"/>
        <color rgb="FF222222"/>
        <rFont val="Noto Sans CJK SC"/>
        <family val="2"/>
      </rPr>
      <t xml:space="preserve">失敗：刪除已部署元件與 </t>
    </r>
    <r>
      <rPr>
        <sz val="10"/>
        <color rgb="FF222222"/>
        <rFont val="Arial"/>
        <family val="0"/>
        <charset val="1"/>
      </rPr>
      <t xml:space="preserve">Installer </t>
    </r>
    <r>
      <rPr>
        <sz val="10"/>
        <color rgb="FF222222"/>
        <rFont val="Noto Sans CJK SC"/>
        <family val="2"/>
      </rPr>
      <t xml:space="preserve">後重做</t>
    </r>
  </si>
  <si>
    <t xml:space="preserve">https://knowledge.broadcom.com/external/article/448258</t>
  </si>
  <si>
    <r>
      <rPr>
        <sz val="10"/>
        <color rgb="FF222222"/>
        <rFont val="Arial"/>
        <family val="0"/>
        <charset val="1"/>
      </rPr>
      <t xml:space="preserve">vCenter FQDN </t>
    </r>
    <r>
      <rPr>
        <sz val="10"/>
        <color rgb="FF222222"/>
        <rFont val="Noto Sans CJK SC"/>
        <family val="2"/>
      </rPr>
      <t xml:space="preserve">含大寫導致 </t>
    </r>
    <r>
      <rPr>
        <sz val="10"/>
        <color rgb="FF222222"/>
        <rFont val="Arial"/>
        <family val="0"/>
        <charset val="1"/>
      </rPr>
      <t xml:space="preserve">converge </t>
    </r>
    <r>
      <rPr>
        <sz val="10"/>
        <color rgb="FF222222"/>
        <rFont val="Noto Sans CJK SC"/>
        <family val="2"/>
      </rPr>
      <t xml:space="preserve">憑證鏈失敗</t>
    </r>
  </si>
  <si>
    <t xml:space="preserve">https://knowledge.broadcom.com/external/article/453612</t>
  </si>
  <si>
    <t xml:space="preserve">KB 425102</t>
  </si>
  <si>
    <r>
      <rPr>
        <sz val="10"/>
        <color rgb="FF222222"/>
        <rFont val="Arial"/>
        <family val="0"/>
        <charset val="1"/>
      </rPr>
      <t xml:space="preserve">ESX </t>
    </r>
    <r>
      <rPr>
        <sz val="10"/>
        <color rgb="FF222222"/>
        <rFont val="Noto Sans CJK SC"/>
        <family val="2"/>
      </rPr>
      <t xml:space="preserve">主機須以 </t>
    </r>
    <r>
      <rPr>
        <sz val="10"/>
        <color rgb="FF222222"/>
        <rFont val="Arial"/>
        <family val="0"/>
        <charset val="1"/>
      </rPr>
      <t xml:space="preserve">FQDN </t>
    </r>
    <r>
      <rPr>
        <sz val="10"/>
        <color rgb="FF222222"/>
        <rFont val="Noto Sans CJK SC"/>
        <family val="2"/>
      </rPr>
      <t xml:space="preserve">加入 </t>
    </r>
    <r>
      <rPr>
        <sz val="10"/>
        <color rgb="FF222222"/>
        <rFont val="Arial"/>
        <family val="0"/>
        <charset val="1"/>
      </rPr>
      <t xml:space="preserve">inventory</t>
    </r>
  </si>
  <si>
    <t xml:space="preserve">https://knowledge.broadcom.com/external/article/425102</t>
  </si>
  <si>
    <t xml:space="preserve">KB 436924</t>
  </si>
  <si>
    <t xml:space="preserve">How to remove an imported Domain from VCF 9.x</t>
  </si>
  <si>
    <t xml:space="preserve">https://knowledge.broadcom.com/external/article/436924</t>
  </si>
  <si>
    <t xml:space="preserve">KB 430524</t>
  </si>
  <si>
    <r>
      <rPr>
        <sz val="10"/>
        <color rgb="FF222222"/>
        <rFont val="Noto Sans CJK SC"/>
        <family val="2"/>
      </rPr>
      <t xml:space="preserve">移除主機上的 </t>
    </r>
    <r>
      <rPr>
        <sz val="10"/>
        <color rgb="FF222222"/>
        <rFont val="Arial"/>
        <family val="0"/>
        <charset val="1"/>
      </rPr>
      <t xml:space="preserve">NSX </t>
    </r>
    <r>
      <rPr>
        <sz val="10"/>
        <color rgb="FF222222"/>
        <rFont val="Noto Sans CJK SC"/>
        <family val="2"/>
      </rPr>
      <t xml:space="preserve">與 </t>
    </r>
    <r>
      <rPr>
        <sz val="10"/>
        <color rgb="FF222222"/>
        <rFont val="Arial"/>
        <family val="0"/>
        <charset val="1"/>
      </rPr>
      <t xml:space="preserve">Compute Manager</t>
    </r>
  </si>
  <si>
    <t xml:space="preserve">https://knowledge.broadcom.com/external/article/430524</t>
  </si>
  <si>
    <t xml:space="preserve">KB 429205</t>
  </si>
  <si>
    <r>
      <rPr>
        <sz val="10"/>
        <color rgb="FF222222"/>
        <rFont val="Arial"/>
        <family val="0"/>
        <charset val="1"/>
      </rPr>
      <t xml:space="preserve">Import </t>
    </r>
    <r>
      <rPr>
        <sz val="10"/>
        <color rgb="FF222222"/>
        <rFont val="Noto Sans CJK SC"/>
        <family val="2"/>
      </rPr>
      <t xml:space="preserve">時 </t>
    </r>
    <r>
      <rPr>
        <sz val="10"/>
        <color rgb="FF222222"/>
        <rFont val="Arial"/>
        <family val="0"/>
        <charset val="1"/>
      </rPr>
      <t xml:space="preserve">NSX </t>
    </r>
    <r>
      <rPr>
        <sz val="10"/>
        <color rgb="FF222222"/>
        <rFont val="Noto Sans CJK SC"/>
        <family val="2"/>
      </rPr>
      <t xml:space="preserve">版本控制（方案 </t>
    </r>
    <r>
      <rPr>
        <sz val="10"/>
        <color rgb="FF222222"/>
        <rFont val="Arial"/>
        <family val="0"/>
        <charset val="1"/>
      </rPr>
      <t xml:space="preserve">A </t>
    </r>
    <r>
      <rPr>
        <sz val="10"/>
        <color rgb="FF222222"/>
        <rFont val="Noto Sans CJK SC"/>
        <family val="2"/>
      </rPr>
      <t xml:space="preserve">用）</t>
    </r>
  </si>
  <si>
    <t xml:space="preserve">https://knowledge.broadcom.com/external/article/429205</t>
  </si>
  <si>
    <t xml:space="preserve">KB 425169</t>
  </si>
  <si>
    <r>
      <rPr>
        <sz val="10"/>
        <color rgb="FF222222"/>
        <rFont val="Arial"/>
        <family val="0"/>
        <charset val="1"/>
      </rPr>
      <t xml:space="preserve">Importing Aria Automation 8.x — </t>
    </r>
    <r>
      <rPr>
        <sz val="10"/>
        <color rgb="FF222222"/>
        <rFont val="Noto Sans CJK SC"/>
        <family val="2"/>
      </rPr>
      <t xml:space="preserve">不在管理網域時網路選項不可用</t>
    </r>
  </si>
  <si>
    <t xml:space="preserve">https://knowledge.broadcom.com/external/article/425169</t>
  </si>
  <si>
    <t xml:space="preserve">KB 425489</t>
  </si>
  <si>
    <t xml:space="preserve">8.x endpoint certificates upgrade pre-check fails</t>
  </si>
  <si>
    <t xml:space="preserve">https://knowledge.broadcom.com/external/article/425489</t>
  </si>
  <si>
    <t xml:space="preserve">KB 389563</t>
  </si>
  <si>
    <r>
      <rPr>
        <sz val="10"/>
        <color rgb="FF222222"/>
        <rFont val="Arial"/>
        <family val="0"/>
        <charset val="1"/>
      </rPr>
      <t xml:space="preserve">Essential prechecks for a successful VCF Automation upgrade</t>
    </r>
    <r>
      <rPr>
        <sz val="10"/>
        <color rgb="FF222222"/>
        <rFont val="Noto Sans CJK SC"/>
        <family val="2"/>
      </rPr>
      <t xml:space="preserve">（不支援的 </t>
    </r>
    <r>
      <rPr>
        <sz val="10"/>
        <color rgb="FF222222"/>
        <rFont val="Arial"/>
        <family val="0"/>
        <charset val="1"/>
      </rPr>
      <t xml:space="preserve">endpoints</t>
    </r>
    <r>
      <rPr>
        <sz val="10"/>
        <color rgb="FF222222"/>
        <rFont val="Noto Sans CJK SC"/>
        <family val="2"/>
      </rPr>
      <t xml:space="preserve">）</t>
    </r>
  </si>
  <si>
    <t xml:space="preserve">https://knowledge.broadcom.com/external/article/389563</t>
  </si>
  <si>
    <t xml:space="preserve">KB 447667</t>
  </si>
  <si>
    <t xml:space="preserve">VCF Automation upgrade to 9.x fails — FIPS</t>
  </si>
  <si>
    <t xml:space="preserve">https://knowledge.broadcom.com/external/article/447667</t>
  </si>
  <si>
    <t xml:space="preserve">KB 450345</t>
  </si>
  <si>
    <r>
      <rPr>
        <sz val="10"/>
        <color rgb="FF222222"/>
        <rFont val="Arial"/>
        <family val="0"/>
        <charset val="1"/>
      </rPr>
      <t xml:space="preserve">Aria Automation 8.18.1 upgrade precheck — </t>
    </r>
    <r>
      <rPr>
        <sz val="10"/>
        <color rgb="FF222222"/>
        <rFont val="Noto Sans CJK SC"/>
        <family val="2"/>
      </rPr>
      <t xml:space="preserve">來源 </t>
    </r>
    <r>
      <rPr>
        <sz val="10"/>
        <color rgb="FF222222"/>
        <rFont val="Arial"/>
        <family val="0"/>
        <charset val="1"/>
      </rPr>
      <t xml:space="preserve">IP / </t>
    </r>
    <r>
      <rPr>
        <sz val="10"/>
        <color rgb="FF222222"/>
        <rFont val="Noto Sans CJK SC"/>
        <family val="2"/>
      </rPr>
      <t xml:space="preserve">網段</t>
    </r>
  </si>
  <si>
    <t xml:space="preserve">https://knowledge.broadcom.com/external/article/450345</t>
  </si>
  <si>
    <r>
      <rPr>
        <sz val="10"/>
        <color rgb="FF222222"/>
        <rFont val="Arial"/>
        <family val="0"/>
        <charset val="1"/>
      </rPr>
      <t xml:space="preserve">VCF Automation </t>
    </r>
    <r>
      <rPr>
        <sz val="10"/>
        <color rgb="FF222222"/>
        <rFont val="Noto Sans CJK SC"/>
        <family val="2"/>
      </rPr>
      <t xml:space="preserve">元件 </t>
    </r>
    <r>
      <rPr>
        <sz val="10"/>
        <color rgb="FF222222"/>
        <rFont val="Arial"/>
        <family val="0"/>
        <charset val="1"/>
      </rPr>
      <t xml:space="preserve">cleanup</t>
    </r>
    <r>
      <rPr>
        <sz val="10"/>
        <color rgb="FF222222"/>
        <rFont val="Noto Sans CJK SC"/>
        <family val="2"/>
      </rPr>
      <t xml:space="preserve">（升級失敗清理不支援 → </t>
    </r>
    <r>
      <rPr>
        <sz val="10"/>
        <color rgb="FF222222"/>
        <rFont val="Arial"/>
        <family val="0"/>
        <charset val="1"/>
      </rPr>
      <t xml:space="preserve">SR</t>
    </r>
    <r>
      <rPr>
        <sz val="10"/>
        <color rgb="FF222222"/>
        <rFont val="Noto Sans CJK SC"/>
        <family val="2"/>
      </rPr>
      <t xml:space="preserve">）</t>
    </r>
  </si>
  <si>
    <t xml:space="preserve">https://knowledge.broadcom.com/external/article/441333</t>
  </si>
  <si>
    <t xml:space="preserve">KB 318582</t>
  </si>
  <si>
    <r>
      <rPr>
        <sz val="10"/>
        <color rgb="FF222222"/>
        <rFont val="Noto Sans CJK SC"/>
        <family val="2"/>
      </rPr>
      <t xml:space="preserve">不同版本 </t>
    </r>
    <r>
      <rPr>
        <sz val="10"/>
        <color rgb="FF222222"/>
        <rFont val="Arial"/>
        <family val="0"/>
        <charset val="1"/>
      </rPr>
      <t xml:space="preserve">vDS </t>
    </r>
    <r>
      <rPr>
        <sz val="10"/>
        <color rgb="FF222222"/>
        <rFont val="Noto Sans CJK SC"/>
        <family val="2"/>
      </rPr>
      <t xml:space="preserve">之間的 </t>
    </r>
    <r>
      <rPr>
        <sz val="10"/>
        <color rgb="FF222222"/>
        <rFont val="Arial"/>
        <family val="0"/>
        <charset val="1"/>
      </rPr>
      <t xml:space="preserve">vMotion</t>
    </r>
  </si>
  <si>
    <t xml:space="preserve">https://knowledge.broadcom.com/external/article/318582</t>
  </si>
  <si>
    <r>
      <rPr>
        <sz val="10"/>
        <color rgb="FF222222"/>
        <rFont val="Arial"/>
        <family val="0"/>
        <charset val="1"/>
      </rPr>
      <t xml:space="preserve">Aria Automation services fail to start — vApp options </t>
    </r>
    <r>
      <rPr>
        <sz val="10"/>
        <color rgb="FF222222"/>
        <rFont val="Noto Sans CJK SC"/>
        <family val="2"/>
      </rPr>
      <t xml:space="preserve">遺失</t>
    </r>
  </si>
  <si>
    <t xml:space="preserve">https://knowledge.broadcom.com/external/article/447218</t>
  </si>
  <si>
    <r>
      <rPr>
        <sz val="10"/>
        <color rgb="FF222222"/>
        <rFont val="Arial"/>
        <family val="0"/>
        <charset val="1"/>
      </rPr>
      <t xml:space="preserve">vCenter </t>
    </r>
    <r>
      <rPr>
        <sz val="10"/>
        <color rgb="FF222222"/>
        <rFont val="Noto Sans CJK SC"/>
        <family val="2"/>
      </rPr>
      <t xml:space="preserve">升級後於兩站執行 </t>
    </r>
    <r>
      <rPr>
        <sz val="10"/>
        <color rgb="FF222222"/>
        <rFont val="Arial"/>
        <family val="0"/>
        <charset val="1"/>
      </rPr>
      <t xml:space="preserve">SRM VAMI Reconfigure</t>
    </r>
  </si>
  <si>
    <t xml:space="preserve">https://knowledge.broadcom.com/external/article/446701</t>
  </si>
  <si>
    <r>
      <rPr>
        <sz val="10"/>
        <color rgb="FF222222"/>
        <rFont val="Arial"/>
        <family val="0"/>
        <charset val="1"/>
      </rPr>
      <t xml:space="preserve">SRM Reconfigure </t>
    </r>
    <r>
      <rPr>
        <sz val="10"/>
        <color rgb="FF222222"/>
        <rFont val="Noto Sans CJK SC"/>
        <family val="2"/>
      </rPr>
      <t xml:space="preserve">失敗 — </t>
    </r>
    <r>
      <rPr>
        <sz val="10"/>
        <color rgb="FF222222"/>
        <rFont val="Arial"/>
        <family val="0"/>
        <charset val="1"/>
      </rPr>
      <t xml:space="preserve">SRM-remote solution account </t>
    </r>
    <r>
      <rPr>
        <sz val="10"/>
        <color rgb="FF222222"/>
        <rFont val="Noto Sans CJK SC"/>
        <family val="2"/>
      </rPr>
      <t xml:space="preserve">密碼過期</t>
    </r>
  </si>
  <si>
    <t xml:space="preserve">https://knowledge.broadcom.com/external/article/448322</t>
  </si>
  <si>
    <t xml:space="preserve">KB 367383</t>
  </si>
  <si>
    <r>
      <rPr>
        <sz val="10"/>
        <color rgb="FF222222"/>
        <rFont val="Arial"/>
        <family val="0"/>
        <charset val="1"/>
      </rPr>
      <t xml:space="preserve">Solution account </t>
    </r>
    <r>
      <rPr>
        <sz val="10"/>
        <color rgb="FF222222"/>
        <rFont val="Noto Sans CJK SC"/>
        <family val="2"/>
      </rPr>
      <t xml:space="preserve">密碼不過期設定</t>
    </r>
  </si>
  <si>
    <t xml:space="preserve">https://knowledge.broadcom.com/external/article/367383</t>
  </si>
  <si>
    <t xml:space="preserve">KB 396777</t>
  </si>
  <si>
    <r>
      <rPr>
        <sz val="10"/>
        <color rgb="FF222222"/>
        <rFont val="Arial"/>
        <family val="0"/>
        <charset val="1"/>
      </rPr>
      <t xml:space="preserve">RDU </t>
    </r>
    <r>
      <rPr>
        <sz val="10"/>
        <color rgb="FF222222"/>
        <rFont val="Noto Sans CJK SC"/>
        <family val="2"/>
      </rPr>
      <t xml:space="preserve">切換時 </t>
    </r>
    <r>
      <rPr>
        <sz val="10"/>
        <color rgb="FF222222"/>
        <rFont val="Arial"/>
        <family val="0"/>
        <charset val="1"/>
      </rPr>
      <t xml:space="preserve">vsphere-ui </t>
    </r>
    <r>
      <rPr>
        <sz val="10"/>
        <color rgb="FF222222"/>
        <rFont val="Noto Sans CJK SC"/>
        <family val="2"/>
      </rPr>
      <t xml:space="preserve">服務帳號缺失</t>
    </r>
  </si>
  <si>
    <t xml:space="preserve">https://knowledge.broadcom.com/external/article/396777</t>
  </si>
  <si>
    <r>
      <rPr>
        <sz val="10"/>
        <color rgb="FF222222"/>
        <rFont val="Arial"/>
        <family val="0"/>
        <charset val="1"/>
      </rPr>
      <t xml:space="preserve">ESXi Shift+R </t>
    </r>
    <r>
      <rPr>
        <sz val="10"/>
        <color rgb="FF222222"/>
        <rFont val="Noto Sans CJK SC"/>
        <family val="2"/>
      </rPr>
      <t xml:space="preserve">回復前一版（</t>
    </r>
    <r>
      <rPr>
        <sz val="10"/>
        <color rgb="FF222222"/>
        <rFont val="Arial"/>
        <family val="0"/>
        <charset val="1"/>
      </rPr>
      <t xml:space="preserve">altbootbank</t>
    </r>
    <r>
      <rPr>
        <sz val="10"/>
        <color rgb="FF222222"/>
        <rFont val="Noto Sans CJK SC"/>
        <family val="2"/>
      </rPr>
      <t xml:space="preserve">）</t>
    </r>
  </si>
  <si>
    <t xml:space="preserve">https://knowledge.broadcom.com/external/article/316592</t>
  </si>
  <si>
    <r>
      <rPr>
        <b val="true"/>
        <sz val="14"/>
        <color rgb="FF1B1D36"/>
        <rFont val="Arial"/>
        <family val="0"/>
        <charset val="1"/>
      </rPr>
      <t xml:space="preserve">CXS Lab </t>
    </r>
    <r>
      <rPr>
        <b val="true"/>
        <sz val="14"/>
        <color rgb="FF1B1D36"/>
        <rFont val="Noto Sans CJK SC"/>
        <family val="2"/>
      </rPr>
      <t xml:space="preserve">驗證覆蓋（</t>
    </r>
    <r>
      <rPr>
        <b val="true"/>
        <sz val="14"/>
        <color rgb="FF1B1D36"/>
        <rFont val="Arial"/>
        <family val="0"/>
        <charset val="1"/>
      </rPr>
      <t xml:space="preserve">github.com/kostenyang</t>
    </r>
    <r>
      <rPr>
        <b val="true"/>
        <sz val="14"/>
        <color rgb="FF1B1D36"/>
        <rFont val="Noto Sans CJK SC"/>
        <family val="2"/>
      </rPr>
      <t xml:space="preserve">）</t>
    </r>
  </si>
  <si>
    <r>
      <rPr>
        <sz val="9"/>
        <color rgb="FF717074"/>
        <rFont val="Noto Sans CJK SC"/>
        <family val="2"/>
      </rPr>
      <t xml:space="preserve">未驗證的步驟正式變更前須於 </t>
    </r>
    <r>
      <rPr>
        <sz val="9"/>
        <color rgb="FF717074"/>
        <rFont val="Arial"/>
        <family val="0"/>
        <charset val="1"/>
      </rPr>
      <t xml:space="preserve">Lab </t>
    </r>
    <r>
      <rPr>
        <sz val="9"/>
        <color rgb="FF717074"/>
        <rFont val="Noto Sans CJK SC"/>
        <family val="2"/>
      </rPr>
      <t xml:space="preserve">補測</t>
    </r>
  </si>
  <si>
    <t xml:space="preserve">實測日期</t>
  </si>
  <si>
    <t xml:space="preserve">結果</t>
  </si>
  <si>
    <r>
      <rPr>
        <b val="true"/>
        <sz val="10"/>
        <color rgb="FFFFFFFF"/>
        <rFont val="Noto Sans CJK SC"/>
        <family val="2"/>
      </rPr>
      <t xml:space="preserve">差異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缺口</t>
    </r>
  </si>
  <si>
    <r>
      <rPr>
        <b val="true"/>
        <sz val="10"/>
        <color rgb="FFFFFFFF"/>
        <rFont val="Arial"/>
        <family val="0"/>
        <charset val="1"/>
      </rPr>
      <t xml:space="preserve">Git </t>
    </r>
    <r>
      <rPr>
        <b val="true"/>
        <sz val="10"/>
        <color rgb="FFFFFFFF"/>
        <rFont val="Noto Sans CJK SC"/>
        <family val="2"/>
      </rPr>
      <t xml:space="preserve">出處</t>
    </r>
  </si>
  <si>
    <r>
      <rPr>
        <sz val="10"/>
        <color rgb="FF222222"/>
        <rFont val="Arial"/>
        <family val="0"/>
        <charset val="1"/>
      </rPr>
      <t xml:space="preserve">vRA </t>
    </r>
    <r>
      <rPr>
        <sz val="10"/>
        <color rgb="FF222222"/>
        <rFont val="Noto Sans CJK SC"/>
        <family val="2"/>
      </rPr>
      <t xml:space="preserve">冷遷移進管理網域</t>
    </r>
  </si>
  <si>
    <t xml:space="preserve">已驗證</t>
  </si>
  <si>
    <r>
      <rPr>
        <sz val="10"/>
        <color rgb="FF222222"/>
        <rFont val="Arial"/>
        <family val="0"/>
        <charset val="1"/>
      </rPr>
      <t xml:space="preserve">2026-09-09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m02</t>
    </r>
    <r>
      <rPr>
        <sz val="10"/>
        <color rgb="FF222222"/>
        <rFont val="Noto Sans CJK SC"/>
        <family val="2"/>
      </rPr>
      <t xml:space="preserve">）</t>
    </r>
  </si>
  <si>
    <r>
      <rPr>
        <sz val="10"/>
        <color rgb="FF222222"/>
        <rFont val="Noto Sans CJK SC"/>
        <family val="2"/>
      </rPr>
      <t xml:space="preserve">熱遷移因 </t>
    </r>
    <r>
      <rPr>
        <sz val="10"/>
        <color rgb="FF222222"/>
        <rFont val="Arial"/>
        <family val="0"/>
        <charset val="1"/>
      </rPr>
      <t xml:space="preserve">CPU feature </t>
    </r>
    <r>
      <rPr>
        <sz val="10"/>
        <color rgb="FF222222"/>
        <rFont val="Noto Sans CJK SC"/>
        <family val="2"/>
      </rPr>
      <t xml:space="preserve">失敗 → 冷遷移 </t>
    </r>
    <r>
      <rPr>
        <sz val="10"/>
        <color rgb="FF222222"/>
        <rFont val="Arial"/>
        <family val="0"/>
        <charset val="1"/>
      </rPr>
      <t xml:space="preserve">165 GB </t>
    </r>
    <r>
      <rPr>
        <sz val="10"/>
        <color rgb="FF222222"/>
        <rFont val="Noto Sans CJK SC"/>
        <family val="2"/>
      </rPr>
      <t xml:space="preserve">約 </t>
    </r>
    <r>
      <rPr>
        <sz val="10"/>
        <color rgb="FF222222"/>
        <rFont val="Arial"/>
        <family val="0"/>
        <charset val="1"/>
      </rPr>
      <t xml:space="preserve">97 </t>
    </r>
    <r>
      <rPr>
        <sz val="10"/>
        <color rgb="FF222222"/>
        <rFont val="Noto Sans CJK SC"/>
        <family val="2"/>
      </rPr>
      <t xml:space="preserve">分；搬入後 </t>
    </r>
    <r>
      <rPr>
        <sz val="10"/>
        <color rgb="FF222222"/>
        <rFont val="Arial"/>
        <family val="0"/>
        <charset val="1"/>
      </rPr>
      <t xml:space="preserve">import precheck </t>
    </r>
    <r>
      <rPr>
        <sz val="10"/>
        <color rgb="FF222222"/>
        <rFont val="Noto Sans CJK SC"/>
        <family val="2"/>
      </rPr>
      <t xml:space="preserve">通過</t>
    </r>
  </si>
  <si>
    <r>
      <rPr>
        <sz val="10"/>
        <color rgb="FF222222"/>
        <rFont val="Arial"/>
        <family val="0"/>
        <charset val="1"/>
      </rPr>
      <t xml:space="preserve">Lab </t>
    </r>
    <r>
      <rPr>
        <sz val="10"/>
        <color rgb="FF222222"/>
        <rFont val="Noto Sans CJK SC"/>
        <family val="2"/>
      </rPr>
      <t xml:space="preserve">是管理網域已建好後才搬；先搬再 </t>
    </r>
    <r>
      <rPr>
        <sz val="10"/>
        <color rgb="FF222222"/>
        <rFont val="Arial"/>
        <family val="0"/>
        <charset val="1"/>
      </rPr>
      <t xml:space="preserve">Converge </t>
    </r>
    <r>
      <rPr>
        <sz val="10"/>
        <color rgb="FF222222"/>
        <rFont val="Noto Sans CJK SC"/>
        <family val="2"/>
      </rPr>
      <t xml:space="preserve">未驗證</t>
    </r>
  </si>
  <si>
    <t xml:space="preserve">vra-lifecycle worklog Phase ④</t>
  </si>
  <si>
    <t xml:space="preserve">S02 / S03</t>
  </si>
  <si>
    <r>
      <rPr>
        <sz val="10"/>
        <color rgb="FF222222"/>
        <rFont val="Arial"/>
        <family val="0"/>
        <charset val="1"/>
      </rPr>
      <t xml:space="preserve">VCF Installer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Offline Depot</t>
    </r>
  </si>
  <si>
    <r>
      <rPr>
        <sz val="10"/>
        <color rgb="FF222222"/>
        <rFont val="Noto Sans CJK SC"/>
        <family val="2"/>
      </rPr>
      <t xml:space="preserve">多次（</t>
    </r>
    <r>
      <rPr>
        <sz val="10"/>
        <color rgb="FF222222"/>
        <rFont val="Arial"/>
        <family val="0"/>
        <charset val="1"/>
      </rPr>
      <t xml:space="preserve">9 </t>
    </r>
    <r>
      <rPr>
        <sz val="10"/>
        <color rgb="FF222222"/>
        <rFont val="Noto Sans CJK SC"/>
        <family val="2"/>
      </rPr>
      <t xml:space="preserve">月）</t>
    </r>
  </si>
  <si>
    <r>
      <rPr>
        <sz val="10"/>
        <color rgb="FF222222"/>
        <rFont val="Arial"/>
        <family val="0"/>
        <charset val="1"/>
      </rPr>
      <t xml:space="preserve">v5 depot </t>
    </r>
    <r>
      <rPr>
        <sz val="10"/>
        <color rgb="FF222222"/>
        <rFont val="Noto Sans CJK SC"/>
        <family val="2"/>
      </rPr>
      <t xml:space="preserve">腳本、</t>
    </r>
    <r>
      <rPr>
        <sz val="10"/>
        <color rgb="FF222222"/>
        <rFont val="Arial"/>
        <family val="0"/>
        <charset val="1"/>
      </rPr>
      <t xml:space="preserve">CA </t>
    </r>
    <r>
      <rPr>
        <sz val="10"/>
        <color rgb="FF222222"/>
        <rFont val="Noto Sans CJK SC"/>
        <family val="2"/>
      </rPr>
      <t xml:space="preserve">匯入、客戶交付包；</t>
    </r>
    <r>
      <rPr>
        <sz val="10"/>
        <color rgb="FF222222"/>
        <rFont val="Arial"/>
        <family val="0"/>
        <charset val="1"/>
      </rPr>
      <t xml:space="preserve">depot URL </t>
    </r>
    <r>
      <rPr>
        <sz val="10"/>
        <color rgb="FF222222"/>
        <rFont val="Noto Sans CJK SC"/>
        <family val="2"/>
      </rPr>
      <t xml:space="preserve">用 </t>
    </r>
    <r>
      <rPr>
        <sz val="10"/>
        <color rgb="FF222222"/>
        <rFont val="Arial"/>
        <family val="0"/>
        <charset val="1"/>
      </rPr>
      <t xml:space="preserve">IP</t>
    </r>
  </si>
  <si>
    <t xml:space="preserve">—</t>
  </si>
  <si>
    <r>
      <rPr>
        <sz val="10"/>
        <color rgb="FF222222"/>
        <rFont val="Arial"/>
        <family val="0"/>
        <charset val="1"/>
      </rPr>
      <t xml:space="preserve">vcf9offlinescript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vcf-download-tool</t>
    </r>
  </si>
  <si>
    <t xml:space="preserve">Converge vCenter 9.1.1 + ESXi 9.1.1</t>
  </si>
  <si>
    <t xml:space="preserve">2026-09-19 / 09-30 / 10-05</t>
  </si>
  <si>
    <r>
      <rPr>
        <sz val="10"/>
        <color rgb="FF222222"/>
        <rFont val="Noto Sans CJK SC"/>
        <family val="2"/>
      </rPr>
      <t xml:space="preserve">多 </t>
    </r>
    <r>
      <rPr>
        <sz val="10"/>
        <color rgb="FF222222"/>
        <rFont val="Arial"/>
        <family val="0"/>
        <charset val="1"/>
      </rPr>
      <t xml:space="preserve">cluster</t>
    </r>
    <r>
      <rPr>
        <sz val="10"/>
        <color rgb="FF222222"/>
        <rFont val="Noto Sans CJK SC"/>
        <family val="2"/>
      </rPr>
      <t xml:space="preserve">、無 </t>
    </r>
    <r>
      <rPr>
        <sz val="10"/>
        <color rgb="FF222222"/>
        <rFont val="Arial"/>
        <family val="0"/>
        <charset val="1"/>
      </rPr>
      <t xml:space="preserve">overlay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overlay over mgmt</t>
    </r>
    <r>
      <rPr>
        <sz val="10"/>
        <color rgb="FF222222"/>
        <rFont val="Noto Sans CJK SC"/>
        <family val="2"/>
      </rPr>
      <t xml:space="preserve">、沿用既有 </t>
    </r>
    <r>
      <rPr>
        <sz val="10"/>
        <color rgb="FF222222"/>
        <rFont val="Arial"/>
        <family val="0"/>
        <charset val="1"/>
      </rPr>
      <t xml:space="preserve">VCF Ops </t>
    </r>
    <r>
      <rPr>
        <sz val="10"/>
        <color rgb="FF222222"/>
        <rFont val="Noto Sans CJK SC"/>
        <family val="2"/>
      </rPr>
      <t xml:space="preserve">皆 </t>
    </r>
    <r>
      <rPr>
        <sz val="10"/>
        <color rgb="FF222222"/>
        <rFont val="Arial"/>
        <family val="0"/>
        <charset val="1"/>
      </rPr>
      <t xml:space="preserve">COMPLETED_WITH_SUCCESS</t>
    </r>
    <r>
      <rPr>
        <sz val="10"/>
        <color rgb="FF222222"/>
        <rFont val="Noto Sans CJK SC"/>
        <family val="2"/>
      </rPr>
      <t xml:space="preserve">；約 </t>
    </r>
    <r>
      <rPr>
        <sz val="10"/>
        <color rgb="FF222222"/>
        <rFont val="Arial"/>
        <family val="0"/>
        <charset val="1"/>
      </rPr>
      <t xml:space="preserve">5–5.5 h</t>
    </r>
  </si>
  <si>
    <r>
      <rPr>
        <sz val="10"/>
        <color rgb="FF222222"/>
        <rFont val="Arial"/>
        <family val="0"/>
        <charset val="1"/>
      </rPr>
      <t xml:space="preserve">Lab </t>
    </r>
    <r>
      <rPr>
        <sz val="10"/>
        <color rgb="FF222222"/>
        <rFont val="Noto Sans CJK SC"/>
        <family val="2"/>
      </rPr>
      <t xml:space="preserve">是 </t>
    </r>
    <r>
      <rPr>
        <sz val="10"/>
        <color rgb="FF222222"/>
        <rFont val="Arial"/>
        <family val="0"/>
        <charset val="1"/>
      </rPr>
      <t xml:space="preserve">nested 4 </t>
    </r>
    <r>
      <rPr>
        <sz val="10"/>
        <color rgb="FF222222"/>
        <rFont val="Noto Sans CJK SC"/>
        <family val="2"/>
      </rPr>
      <t xml:space="preserve">台；</t>
    </r>
    <r>
      <rPr>
        <sz val="10"/>
        <color rgb="FF222222"/>
        <rFont val="Arial"/>
        <family val="0"/>
        <charset val="1"/>
      </rPr>
      <t xml:space="preserve">CTBC </t>
    </r>
    <r>
      <rPr>
        <sz val="10"/>
        <color rgb="FF222222"/>
        <rFont val="Noto Sans CJK SC"/>
        <family val="2"/>
      </rPr>
      <t xml:space="preserve">為 </t>
    </r>
    <r>
      <rPr>
        <sz val="10"/>
        <color rgb="FF222222"/>
        <rFont val="Arial"/>
        <family val="0"/>
        <charset val="1"/>
      </rPr>
      <t xml:space="preserve">6 </t>
    </r>
    <r>
      <rPr>
        <sz val="10"/>
        <color rgb="FF222222"/>
        <rFont val="Noto Sans CJK SC"/>
        <family val="2"/>
      </rPr>
      <t xml:space="preserve">台實體</t>
    </r>
  </si>
  <si>
    <r>
      <rPr>
        <sz val="10"/>
        <color rgb="FF222222"/>
        <rFont val="Arial"/>
        <family val="0"/>
        <charset val="1"/>
      </rPr>
      <t xml:space="preserve">v8tov9 converge/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converge-existing-ops/</t>
    </r>
  </si>
  <si>
    <t xml:space="preserve">Import vRA 8.18.1</t>
  </si>
  <si>
    <r>
      <rPr>
        <sz val="10"/>
        <color rgb="FF222222"/>
        <rFont val="Arial"/>
        <family val="0"/>
        <charset val="1"/>
      </rPr>
      <t xml:space="preserve">2026-09-06 / 10-07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m03</t>
    </r>
    <r>
      <rPr>
        <sz val="10"/>
        <color rgb="FF222222"/>
        <rFont val="Noto Sans CJK SC"/>
        <family val="2"/>
      </rPr>
      <t xml:space="preserve">）</t>
    </r>
  </si>
  <si>
    <r>
      <rPr>
        <sz val="10"/>
        <color rgb="FF222222"/>
        <rFont val="Arial"/>
        <family val="0"/>
        <charset val="1"/>
      </rPr>
      <t xml:space="preserve">import </t>
    </r>
    <r>
      <rPr>
        <sz val="10"/>
        <color rgb="FF222222"/>
        <rFont val="Noto Sans CJK SC"/>
        <family val="2"/>
      </rPr>
      <t xml:space="preserve">約 </t>
    </r>
    <r>
      <rPr>
        <sz val="10"/>
        <color rgb="FF222222"/>
        <rFont val="Arial"/>
        <family val="0"/>
        <charset val="1"/>
      </rPr>
      <t xml:space="preserve">5 </t>
    </r>
    <r>
      <rPr>
        <sz val="10"/>
        <color rgb="FF222222"/>
        <rFont val="Noto Sans CJK SC"/>
        <family val="2"/>
      </rPr>
      <t xml:space="preserve">分，來源不受影響</t>
    </r>
  </si>
  <si>
    <r>
      <rPr>
        <sz val="10"/>
        <color rgb="FF222222"/>
        <rFont val="Arial"/>
        <family val="0"/>
        <charset val="1"/>
      </rPr>
      <t xml:space="preserve">vra-lifecycle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branch vra8-import-upgrade-m03</t>
    </r>
    <r>
      <rPr>
        <sz val="10"/>
        <color rgb="FF222222"/>
        <rFont val="Noto Sans CJK SC"/>
        <family val="2"/>
      </rPr>
      <t xml:space="preserve">）</t>
    </r>
  </si>
  <si>
    <t xml:space="preserve">vRA → VCF Automation 9.1.1</t>
  </si>
  <si>
    <r>
      <rPr>
        <sz val="10"/>
        <color rgb="FF222222"/>
        <rFont val="Arial"/>
        <family val="0"/>
        <charset val="1"/>
      </rPr>
      <t xml:space="preserve">2026-10-07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m03</t>
    </r>
    <r>
      <rPr>
        <sz val="10"/>
        <color rgb="FF222222"/>
        <rFont val="Noto Sans CJK SC"/>
        <family val="2"/>
      </rPr>
      <t xml:space="preserve">）</t>
    </r>
  </si>
  <si>
    <r>
      <rPr>
        <sz val="10"/>
        <color rgb="FF222222"/>
        <rFont val="Arial"/>
        <family val="0"/>
        <charset val="1"/>
      </rPr>
      <t xml:space="preserve">precheck </t>
    </r>
    <r>
      <rPr>
        <sz val="10"/>
        <color rgb="FF222222"/>
        <rFont val="Noto Sans CJK SC"/>
        <family val="2"/>
      </rPr>
      <t xml:space="preserve">一次過 </t>
    </r>
    <r>
      <rPr>
        <sz val="10"/>
        <color rgb="FF222222"/>
        <rFont val="Arial"/>
        <family val="0"/>
        <charset val="1"/>
      </rPr>
      <t xml:space="preserve">36 </t>
    </r>
    <r>
      <rPr>
        <sz val="10"/>
        <color rgb="FF222222"/>
        <rFont val="Noto Sans CJK SC"/>
        <family val="2"/>
      </rPr>
      <t xml:space="preserve">分、升級 </t>
    </r>
    <r>
      <rPr>
        <sz val="10"/>
        <color rgb="FF222222"/>
        <rFont val="Arial"/>
        <family val="0"/>
        <charset val="1"/>
      </rPr>
      <t xml:space="preserve">4 h 47 m </t>
    </r>
    <r>
      <rPr>
        <sz val="10"/>
        <color rgb="FF222222"/>
        <rFont val="Noto Sans CJK SC"/>
        <family val="2"/>
      </rPr>
      <t xml:space="preserve">一次成功、中斷約 </t>
    </r>
    <r>
      <rPr>
        <sz val="10"/>
        <color rgb="FF222222"/>
        <rFont val="Arial"/>
        <family val="0"/>
        <charset val="1"/>
      </rPr>
      <t xml:space="preserve">44 </t>
    </r>
    <r>
      <rPr>
        <sz val="10"/>
        <color rgb="FF222222"/>
        <rFont val="Noto Sans CJK SC"/>
        <family val="2"/>
      </rPr>
      <t xml:space="preserve">分、資料 </t>
    </r>
    <r>
      <rPr>
        <sz val="10"/>
        <color rgb="FF222222"/>
        <rFont val="Arial"/>
        <family val="0"/>
        <charset val="1"/>
      </rPr>
      <t xml:space="preserve">ID </t>
    </r>
    <r>
      <rPr>
        <sz val="10"/>
        <color rgb="FF222222"/>
        <rFont val="Noto Sans CJK SC"/>
        <family val="2"/>
      </rPr>
      <t xml:space="preserve">全相同；來源自動 </t>
    </r>
    <r>
      <rPr>
        <sz val="10"/>
        <color rgb="FF222222"/>
        <rFont val="Arial"/>
        <family val="0"/>
        <charset val="1"/>
      </rPr>
      <t xml:space="preserve">snapshot</t>
    </r>
  </si>
  <si>
    <r>
      <rPr>
        <sz val="10"/>
        <color rgb="FF222222"/>
        <rFont val="Arial"/>
        <family val="0"/>
        <charset val="1"/>
      </rPr>
      <t xml:space="preserve">9/9 m02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fleet 9.1.0.0400</t>
    </r>
    <r>
      <rPr>
        <sz val="10"/>
        <color rgb="FF222222"/>
        <rFont val="Noto Sans CJK SC"/>
        <family val="2"/>
      </rPr>
      <t xml:space="preserve">）曾 </t>
    </r>
    <r>
      <rPr>
        <sz val="10"/>
        <color rgb="FF222222"/>
        <rFont val="Arial"/>
        <family val="0"/>
        <charset val="1"/>
      </rPr>
      <t xml:space="preserve">7 h 55 m + </t>
    </r>
    <r>
      <rPr>
        <sz val="10"/>
        <color rgb="FF222222"/>
        <rFont val="Noto Sans CJK SC"/>
        <family val="2"/>
      </rPr>
      <t xml:space="preserve">假失敗</t>
    </r>
  </si>
  <si>
    <t xml:space="preserve">S07 / S11</t>
  </si>
  <si>
    <t xml:space="preserve">vCenter 8.0.3 → 9.1.1</t>
  </si>
  <si>
    <t xml:space="preserve">2026-08-19 / 09-21 / 10-02</t>
  </si>
  <si>
    <r>
      <rPr>
        <sz val="10"/>
        <color rgb="FF222222"/>
        <rFont val="Arial"/>
        <family val="0"/>
        <charset val="1"/>
      </rPr>
      <t xml:space="preserve">RDU 33 </t>
    </r>
    <r>
      <rPr>
        <sz val="10"/>
        <color rgb="FF222222"/>
        <rFont val="Noto Sans CJK SC"/>
        <family val="2"/>
      </rPr>
      <t xml:space="preserve">分；</t>
    </r>
    <r>
      <rPr>
        <sz val="10"/>
        <color rgb="FF222222"/>
        <rFont val="Arial"/>
        <family val="0"/>
        <charset val="1"/>
      </rPr>
      <t xml:space="preserve">CLI migration 50 </t>
    </r>
    <r>
      <rPr>
        <sz val="10"/>
        <color rgb="FF222222"/>
        <rFont val="Noto Sans CJK SC"/>
        <family val="2"/>
      </rPr>
      <t xml:space="preserve">分；</t>
    </r>
    <r>
      <rPr>
        <sz val="10"/>
        <color rgb="FF222222"/>
        <rFont val="Arial"/>
        <family val="0"/>
        <charset val="1"/>
      </rPr>
      <t xml:space="preserve">RDU </t>
    </r>
    <r>
      <rPr>
        <sz val="10"/>
        <color rgb="FF222222"/>
        <rFont val="Noto Sans CJK SC"/>
        <family val="2"/>
      </rPr>
      <t xml:space="preserve">遇 </t>
    </r>
    <r>
      <rPr>
        <sz val="10"/>
        <color rgb="FF222222"/>
        <rFont val="Arial"/>
        <family val="0"/>
        <charset val="1"/>
      </rPr>
      <t xml:space="preserve">NSX &lt; 9.1 </t>
    </r>
    <r>
      <rPr>
        <sz val="10"/>
        <color rgb="FF222222"/>
        <rFont val="Noto Sans CJK SC"/>
        <family val="2"/>
      </rPr>
      <t xml:space="preserve">註冊會卡 </t>
    </r>
    <r>
      <rPr>
        <sz val="10"/>
        <color rgb="FF222222"/>
        <rFont val="Arial"/>
        <family val="0"/>
        <charset val="1"/>
      </rPr>
      <t xml:space="preserve">switchover</t>
    </r>
  </si>
  <si>
    <r>
      <rPr>
        <sz val="10"/>
        <color rgb="FF222222"/>
        <rFont val="Arial"/>
        <family val="0"/>
        <charset val="1"/>
      </rPr>
      <t xml:space="preserve">Lab </t>
    </r>
    <r>
      <rPr>
        <sz val="10"/>
        <color rgb="FF222222"/>
        <rFont val="Noto Sans CJK SC"/>
        <family val="2"/>
      </rPr>
      <t xml:space="preserve">無 </t>
    </r>
    <r>
      <rPr>
        <sz val="10"/>
        <color rgb="FF222222"/>
        <rFont val="Arial"/>
        <family val="0"/>
        <charset val="1"/>
      </rPr>
      <t xml:space="preserve">SRM extension</t>
    </r>
  </si>
  <si>
    <r>
      <rPr>
        <sz val="10"/>
        <color rgb="FF222222"/>
        <rFont val="Arial"/>
        <family val="0"/>
        <charset val="1"/>
      </rPr>
      <t xml:space="preserve">v8tov9 vc-8.0.3-to-9.1.1-firstboot-failure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customer-vvf-no-sddcm.md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import-wld/cli</t>
    </r>
  </si>
  <si>
    <t xml:space="preserve">S08 / S12</t>
  </si>
  <si>
    <t xml:space="preserve">SRM Reconfigure + Reconnect</t>
  </si>
  <si>
    <t xml:space="preserve">未驗證</t>
  </si>
  <si>
    <r>
      <rPr>
        <sz val="10"/>
        <color rgb="FF222222"/>
        <rFont val="Arial"/>
        <family val="0"/>
        <charset val="1"/>
      </rPr>
      <t xml:space="preserve">Git </t>
    </r>
    <r>
      <rPr>
        <sz val="10"/>
        <color rgb="FF222222"/>
        <rFont val="Noto Sans CJK SC"/>
        <family val="2"/>
      </rPr>
      <t xml:space="preserve">無 </t>
    </r>
    <r>
      <rPr>
        <sz val="10"/>
        <color rgb="FF222222"/>
        <rFont val="Arial"/>
        <family val="0"/>
        <charset val="1"/>
      </rPr>
      <t xml:space="preserve">SRM </t>
    </r>
    <r>
      <rPr>
        <sz val="10"/>
        <color rgb="FF222222"/>
        <rFont val="Noto Sans CJK SC"/>
        <family val="2"/>
      </rPr>
      <t xml:space="preserve">實測 → 依 </t>
    </r>
    <r>
      <rPr>
        <sz val="10"/>
        <color rgb="FF222222"/>
        <rFont val="Arial"/>
        <family val="0"/>
        <charset val="1"/>
      </rPr>
      <t xml:space="preserve">KB 446701</t>
    </r>
    <r>
      <rPr>
        <sz val="10"/>
        <color rgb="FF222222"/>
        <rFont val="Noto Sans CJK SC"/>
        <family val="2"/>
      </rPr>
      <t xml:space="preserve">；建議 </t>
    </r>
    <r>
      <rPr>
        <sz val="10"/>
        <color rgb="FF222222"/>
        <rFont val="Arial"/>
        <family val="0"/>
        <charset val="1"/>
      </rPr>
      <t xml:space="preserve">Lab </t>
    </r>
    <r>
      <rPr>
        <sz val="10"/>
        <color rgb="FF222222"/>
        <rFont val="Noto Sans CJK SC"/>
        <family val="2"/>
      </rPr>
      <t xml:space="preserve">補測</t>
    </r>
  </si>
  <si>
    <t xml:space="preserve">S09 / S13</t>
  </si>
  <si>
    <r>
      <rPr>
        <sz val="10"/>
        <color rgb="FF222222"/>
        <rFont val="Arial"/>
        <family val="0"/>
        <charset val="1"/>
      </rPr>
      <t xml:space="preserve">Import WLD </t>
    </r>
    <r>
      <rPr>
        <sz val="10"/>
        <color rgb="FF222222"/>
        <rFont val="Noto Sans CJK SC"/>
        <family val="2"/>
      </rPr>
      <t xml:space="preserve">共用管理網域 </t>
    </r>
    <r>
      <rPr>
        <sz val="10"/>
        <color rgb="FF222222"/>
        <rFont val="Arial"/>
        <family val="0"/>
        <charset val="1"/>
      </rPr>
      <t xml:space="preserve">NSX</t>
    </r>
  </si>
  <si>
    <t xml:space="preserve">2026-10-03</t>
  </si>
  <si>
    <r>
      <rPr>
        <sz val="10"/>
        <color rgb="FF222222"/>
        <rFont val="Arial"/>
        <family val="0"/>
        <charset val="1"/>
      </rPr>
      <t xml:space="preserve">vCenter 9.1.1 + ESXi 8.0.3 </t>
    </r>
    <r>
      <rPr>
        <sz val="10"/>
        <color rgb="FF222222"/>
        <rFont val="Noto Sans CJK SC"/>
        <family val="2"/>
      </rPr>
      <t xml:space="preserve">匯入 </t>
    </r>
    <r>
      <rPr>
        <sz val="10"/>
        <color rgb="FF222222"/>
        <rFont val="Arial"/>
        <family val="0"/>
        <charset val="1"/>
      </rPr>
      <t xml:space="preserve">57/57</t>
    </r>
    <r>
      <rPr>
        <sz val="10"/>
        <color rgb="FF222222"/>
        <rFont val="Noto Sans CJK SC"/>
        <family val="2"/>
      </rPr>
      <t xml:space="preserve">、約 </t>
    </r>
    <r>
      <rPr>
        <sz val="10"/>
        <color rgb="FF222222"/>
        <rFont val="Arial"/>
        <family val="0"/>
        <charset val="1"/>
      </rPr>
      <t xml:space="preserve">15 </t>
    </r>
    <r>
      <rPr>
        <sz val="10"/>
        <color rgb="FF222222"/>
        <rFont val="Noto Sans CJK SC"/>
        <family val="2"/>
      </rPr>
      <t xml:space="preserve">分；</t>
    </r>
    <r>
      <rPr>
        <sz val="10"/>
        <color rgb="FF222222"/>
        <rFont val="Arial"/>
        <family val="0"/>
        <charset val="1"/>
      </rPr>
      <t xml:space="preserve">precheck 3 </t>
    </r>
    <r>
      <rPr>
        <sz val="10"/>
        <color rgb="FF222222"/>
        <rFont val="Noto Sans CJK SC"/>
        <family val="2"/>
      </rPr>
      <t xml:space="preserve">個 </t>
    </r>
    <r>
      <rPr>
        <sz val="10"/>
        <color rgb="FF222222"/>
        <rFont val="Arial"/>
        <family val="0"/>
        <charset val="1"/>
      </rPr>
      <t xml:space="preserve">Error </t>
    </r>
    <r>
      <rPr>
        <sz val="10"/>
        <color rgb="FF222222"/>
        <rFont val="Noto Sans CJK SC"/>
        <family val="2"/>
      </rPr>
      <t xml:space="preserve">已有修法</t>
    </r>
  </si>
  <si>
    <t xml:space="preserve">v8tov9 import-wld/</t>
  </si>
  <si>
    <t xml:space="preserve">S10 / S14</t>
  </si>
  <si>
    <r>
      <rPr>
        <sz val="10"/>
        <color rgb="FF222222"/>
        <rFont val="Noto Sans CJK SC"/>
        <family val="2"/>
      </rPr>
      <t xml:space="preserve">匯入後 </t>
    </r>
    <r>
      <rPr>
        <sz val="10"/>
        <color rgb="FF222222"/>
        <rFont val="Arial"/>
        <family val="0"/>
        <charset val="1"/>
      </rPr>
      <t xml:space="preserve">ESXi 8.0.3 → 9.1.1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VCF LCM</t>
    </r>
    <r>
      <rPr>
        <sz val="10"/>
        <color rgb="FF222222"/>
        <rFont val="Noto Sans CJK SC"/>
        <family val="2"/>
      </rPr>
      <t xml:space="preserve">）</t>
    </r>
  </si>
  <si>
    <r>
      <rPr>
        <sz val="10"/>
        <color rgb="FF222222"/>
        <rFont val="Noto Sans CJK SC"/>
        <family val="2"/>
      </rPr>
      <t xml:space="preserve">相關：</t>
    </r>
    <r>
      <rPr>
        <sz val="10"/>
        <color rgb="FF222222"/>
        <rFont val="Arial"/>
        <family val="0"/>
        <charset val="1"/>
      </rPr>
      <t xml:space="preserve">vLCM </t>
    </r>
    <r>
      <rPr>
        <sz val="10"/>
        <color rgb="FF222222"/>
        <rFont val="Noto Sans CJK SC"/>
        <family val="2"/>
      </rPr>
      <t xml:space="preserve">升獨立主機（</t>
    </r>
    <r>
      <rPr>
        <sz val="10"/>
        <color rgb="FF222222"/>
        <rFont val="Arial"/>
        <family val="0"/>
        <charset val="1"/>
      </rPr>
      <t xml:space="preserve">9/29</t>
    </r>
    <r>
      <rPr>
        <sz val="10"/>
        <color rgb="FF222222"/>
        <rFont val="Noto Sans CJK SC"/>
        <family val="2"/>
      </rPr>
      <t xml:space="preserve">）、</t>
    </r>
    <r>
      <rPr>
        <sz val="10"/>
        <color rgb="FF222222"/>
        <rFont val="Arial"/>
        <family val="0"/>
        <charset val="1"/>
      </rPr>
      <t xml:space="preserve">ESX depot zip </t>
    </r>
    <r>
      <rPr>
        <sz val="10"/>
        <color rgb="FF222222"/>
        <rFont val="Noto Sans CJK SC"/>
        <family val="2"/>
      </rPr>
      <t xml:space="preserve">取得法</t>
    </r>
  </si>
  <si>
    <r>
      <rPr>
        <sz val="10"/>
        <color rgb="FF222222"/>
        <rFont val="Arial"/>
        <family val="0"/>
        <charset val="1"/>
      </rPr>
      <t xml:space="preserve">Lab </t>
    </r>
    <r>
      <rPr>
        <sz val="10"/>
        <color rgb="FF222222"/>
        <rFont val="Noto Sans CJK SC"/>
        <family val="2"/>
      </rPr>
      <t xml:space="preserve">匯入後主機維持 </t>
    </r>
    <r>
      <rPr>
        <sz val="10"/>
        <color rgb="FF222222"/>
        <rFont val="Arial"/>
        <family val="0"/>
        <charset val="1"/>
      </rPr>
      <t xml:space="preserve">8.0.3</t>
    </r>
    <r>
      <rPr>
        <sz val="10"/>
        <color rgb="FF222222"/>
        <rFont val="Noto Sans CJK SC"/>
        <family val="2"/>
      </rPr>
      <t xml:space="preserve">，未在 </t>
    </r>
    <r>
      <rPr>
        <sz val="10"/>
        <color rgb="FF222222"/>
        <rFont val="Arial"/>
        <family val="0"/>
        <charset val="1"/>
      </rPr>
      <t xml:space="preserve">VCF </t>
    </r>
    <r>
      <rPr>
        <sz val="10"/>
        <color rgb="FF222222"/>
        <rFont val="Noto Sans CJK SC"/>
        <family val="2"/>
      </rPr>
      <t xml:space="preserve">內升級 → 建議 </t>
    </r>
    <r>
      <rPr>
        <sz val="10"/>
        <color rgb="FF222222"/>
        <rFont val="Arial"/>
        <family val="0"/>
        <charset val="1"/>
      </rPr>
      <t xml:space="preserve">Lab </t>
    </r>
    <r>
      <rPr>
        <sz val="10"/>
        <color rgb="FF222222"/>
        <rFont val="Noto Sans CJK SC"/>
        <family val="2"/>
      </rPr>
      <t xml:space="preserve">補測</t>
    </r>
  </si>
  <si>
    <t xml:space="preserve">v8tov9 esxi-standalone-upgrade/</t>
  </si>
  <si>
    <t xml:space="preserve">vRO → 9.1.1</t>
  </si>
  <si>
    <r>
      <rPr>
        <sz val="10"/>
        <color rgb="FF222222"/>
        <rFont val="Arial"/>
        <family val="0"/>
        <charset val="1"/>
      </rPr>
      <t xml:space="preserve">Git </t>
    </r>
    <r>
      <rPr>
        <sz val="10"/>
        <color rgb="FF222222"/>
        <rFont val="Noto Sans CJK SC"/>
        <family val="2"/>
      </rPr>
      <t xml:space="preserve">無 </t>
    </r>
    <r>
      <rPr>
        <sz val="10"/>
        <color rgb="FF222222"/>
        <rFont val="Arial"/>
        <family val="0"/>
        <charset val="1"/>
      </rPr>
      <t xml:space="preserve">vRO standalone </t>
    </r>
    <r>
      <rPr>
        <sz val="10"/>
        <color rgb="FF222222"/>
        <rFont val="Noto Sans CJK SC"/>
        <family val="2"/>
      </rPr>
      <t xml:space="preserve">升級實測 → 依 </t>
    </r>
    <r>
      <rPr>
        <sz val="10"/>
        <color rgb="FF222222"/>
        <rFont val="Arial"/>
        <family val="0"/>
        <charset val="1"/>
      </rPr>
      <t xml:space="preserve">TechDocs</t>
    </r>
    <r>
      <rPr>
        <sz val="10"/>
        <color rgb="FF222222"/>
        <rFont val="Noto Sans CJK SC"/>
        <family val="2"/>
      </rPr>
      <t xml:space="preserve">；建議 </t>
    </r>
    <r>
      <rPr>
        <sz val="10"/>
        <color rgb="FF222222"/>
        <rFont val="Arial"/>
        <family val="0"/>
        <charset val="1"/>
      </rPr>
      <t xml:space="preserve">Lab </t>
    </r>
    <r>
      <rPr>
        <sz val="10"/>
        <color rgb="FF222222"/>
        <rFont val="Noto Sans CJK SC"/>
        <family val="2"/>
      </rPr>
      <t xml:space="preserve">補測</t>
    </r>
  </si>
  <si>
    <r>
      <rPr>
        <sz val="10"/>
        <color rgb="FF222222"/>
        <rFont val="Noto Sans CJK SC"/>
        <family val="2"/>
      </rPr>
      <t xml:space="preserve">方案 </t>
    </r>
    <r>
      <rPr>
        <sz val="10"/>
        <color rgb="FF222222"/>
        <rFont val="Arial"/>
        <family val="0"/>
        <charset val="1"/>
      </rPr>
      <t xml:space="preserve">A</t>
    </r>
  </si>
  <si>
    <r>
      <rPr>
        <sz val="10"/>
        <color rgb="FF222222"/>
        <rFont val="Arial"/>
        <family val="0"/>
        <charset val="1"/>
      </rPr>
      <t xml:space="preserve">Import 8.0.3 </t>
    </r>
    <r>
      <rPr>
        <sz val="10"/>
        <color rgb="FF222222"/>
        <rFont val="Noto Sans CJK SC"/>
        <family val="2"/>
      </rPr>
      <t xml:space="preserve">並自建 </t>
    </r>
    <r>
      <rPr>
        <sz val="10"/>
        <color rgb="FF222222"/>
        <rFont val="Arial"/>
        <family val="0"/>
        <charset val="1"/>
      </rPr>
      <t xml:space="preserve">NSX 4.2</t>
    </r>
  </si>
  <si>
    <r>
      <rPr>
        <sz val="10"/>
        <color rgb="FF222222"/>
        <rFont val="Arial"/>
        <family val="0"/>
        <charset val="1"/>
      </rPr>
      <t xml:space="preserve">Lab </t>
    </r>
    <r>
      <rPr>
        <sz val="10"/>
        <color rgb="FF222222"/>
        <rFont val="Noto Sans CJK SC"/>
        <family val="2"/>
      </rPr>
      <t xml:space="preserve">未測 → 也是建議方案 </t>
    </r>
    <r>
      <rPr>
        <sz val="10"/>
        <color rgb="FF222222"/>
        <rFont val="Arial"/>
        <family val="0"/>
        <charset val="1"/>
      </rPr>
      <t xml:space="preserve">B </t>
    </r>
    <r>
      <rPr>
        <sz val="10"/>
        <color rgb="FF222222"/>
        <rFont val="Noto Sans CJK SC"/>
        <family val="2"/>
      </rPr>
      <t xml:space="preserve">的理由之一</t>
    </r>
  </si>
  <si>
    <r>
      <rPr>
        <b val="true"/>
        <sz val="14"/>
        <color rgb="FF1B1D36"/>
        <rFont val="Arial"/>
        <family val="0"/>
        <charset val="1"/>
      </rPr>
      <t xml:space="preserve">Git </t>
    </r>
    <r>
      <rPr>
        <b val="true"/>
        <sz val="14"/>
        <color rgb="FF1B1D36"/>
        <rFont val="Noto Sans CJK SC"/>
        <family val="2"/>
      </rPr>
      <t xml:space="preserve">參考文件（</t>
    </r>
    <r>
      <rPr>
        <b val="true"/>
        <sz val="14"/>
        <color rgb="FF1B1D36"/>
        <rFont val="Arial"/>
        <family val="0"/>
        <charset val="1"/>
      </rPr>
      <t xml:space="preserve">github.com/kostenyang</t>
    </r>
    <r>
      <rPr>
        <b val="true"/>
        <sz val="14"/>
        <color rgb="FF1B1D36"/>
        <rFont val="Noto Sans CJK SC"/>
        <family val="2"/>
      </rPr>
      <t xml:space="preserve">）— 內部參考</t>
    </r>
  </si>
  <si>
    <r>
      <rPr>
        <sz val="9"/>
        <color rgb="FF717074"/>
        <rFont val="Arial"/>
        <family val="0"/>
        <charset val="1"/>
      </rPr>
      <t xml:space="preserve">CXS Lab </t>
    </r>
    <r>
      <rPr>
        <sz val="9"/>
        <color rgb="FF717074"/>
        <rFont val="Noto Sans CJK SC"/>
        <family val="2"/>
      </rPr>
      <t xml:space="preserve">實測紀錄，非官方文件；</t>
    </r>
    <r>
      <rPr>
        <sz val="9"/>
        <color rgb="FF717074"/>
        <rFont val="Arial"/>
        <family val="0"/>
        <charset val="1"/>
      </rPr>
      <t xml:space="preserve">private repo </t>
    </r>
    <r>
      <rPr>
        <sz val="9"/>
        <color rgb="FF717074"/>
        <rFont val="Noto Sans CJK SC"/>
        <family val="2"/>
      </rPr>
      <t xml:space="preserve">內含 </t>
    </r>
    <r>
      <rPr>
        <sz val="9"/>
        <color rgb="FF717074"/>
        <rFont val="Arial"/>
        <family val="0"/>
        <charset val="1"/>
      </rPr>
      <t xml:space="preserve">lab </t>
    </r>
    <r>
      <rPr>
        <sz val="9"/>
        <color rgb="FF717074"/>
        <rFont val="Noto Sans CJK SC"/>
        <family val="2"/>
      </rPr>
      <t xml:space="preserve">資訊，交付客戶前可刪除本頁</t>
    </r>
  </si>
  <si>
    <t xml:space="preserve">對應步驟</t>
  </si>
  <si>
    <t xml:space="preserve">Repo</t>
  </si>
  <si>
    <t xml:space="preserve">路徑</t>
  </si>
  <si>
    <t xml:space="preserve">可參考的內容</t>
  </si>
  <si>
    <t xml:space="preserve">vra-lifecycle（private）</t>
  </si>
  <si>
    <t xml:space="preserve">runbooks/vcf911-vra8-import-upgrade-worklog.md › Phase ④</t>
  </si>
  <si>
    <r>
      <rPr>
        <sz val="10"/>
        <color rgb="FF222222"/>
        <rFont val="Arial"/>
        <family val="0"/>
        <charset val="1"/>
      </rPr>
      <t xml:space="preserve">vRA appliance </t>
    </r>
    <r>
      <rPr>
        <sz val="10"/>
        <color rgb="FF222222"/>
        <rFont val="Noto Sans CJK SC"/>
        <family val="2"/>
      </rPr>
      <t xml:space="preserve">跨 </t>
    </r>
    <r>
      <rPr>
        <sz val="10"/>
        <color rgb="FF222222"/>
        <rFont val="Arial"/>
        <family val="0"/>
        <charset val="1"/>
      </rPr>
      <t xml:space="preserve">vCenter </t>
    </r>
    <r>
      <rPr>
        <sz val="10"/>
        <color rgb="FF222222"/>
        <rFont val="Noto Sans CJK SC"/>
        <family val="2"/>
      </rPr>
      <t xml:space="preserve">搬進管理網域：熱遷移因 </t>
    </r>
    <r>
      <rPr>
        <sz val="10"/>
        <color rgb="FF222222"/>
        <rFont val="Arial"/>
        <family val="0"/>
        <charset val="1"/>
      </rPr>
      <t xml:space="preserve">CPU feature </t>
    </r>
    <r>
      <rPr>
        <sz val="10"/>
        <color rgb="FF222222"/>
        <rFont val="Noto Sans CJK SC"/>
        <family val="2"/>
      </rPr>
      <t xml:space="preserve">失敗、</t>
    </r>
    <r>
      <rPr>
        <sz val="10"/>
        <color rgb="FF222222"/>
        <rFont val="Arial"/>
        <family val="0"/>
        <charset val="1"/>
      </rPr>
      <t xml:space="preserve">165 GB </t>
    </r>
    <r>
      <rPr>
        <sz val="10"/>
        <color rgb="FF222222"/>
        <rFont val="Noto Sans CJK SC"/>
        <family val="2"/>
      </rPr>
      <t xml:space="preserve">冷遷移約 </t>
    </r>
    <r>
      <rPr>
        <sz val="10"/>
        <color rgb="FF222222"/>
        <rFont val="Arial"/>
        <family val="0"/>
        <charset val="1"/>
      </rPr>
      <t xml:space="preserve">97 </t>
    </r>
    <r>
      <rPr>
        <sz val="10"/>
        <color rgb="FF222222"/>
        <rFont val="Noto Sans CJK SC"/>
        <family val="2"/>
      </rPr>
      <t xml:space="preserve">分；</t>
    </r>
    <r>
      <rPr>
        <sz val="10"/>
        <color rgb="FF222222"/>
        <rFont val="Arial"/>
        <family val="0"/>
        <charset val="1"/>
      </rPr>
      <t xml:space="preserve">/vco/api/healthstatus </t>
    </r>
    <r>
      <rPr>
        <sz val="10"/>
        <color rgb="FF222222"/>
        <rFont val="Noto Sans CJK SC"/>
        <family val="2"/>
      </rPr>
      <t xml:space="preserve">作為就緒判斷</t>
    </r>
  </si>
  <si>
    <r>
      <rPr>
        <sz val="10"/>
        <color rgb="FF222222"/>
        <rFont val="Arial"/>
        <family val="0"/>
        <charset val="1"/>
      </rPr>
      <t xml:space="preserve">runbooks/scripts/vcf911-vra8-upgrade/coldmove-vra9.ps1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xvmotion-vra9.ps1</t>
    </r>
  </si>
  <si>
    <r>
      <rPr>
        <sz val="10"/>
        <color rgb="FF222222"/>
        <rFont val="Arial"/>
        <family val="0"/>
        <charset val="1"/>
      </rPr>
      <t xml:space="preserve">PowerCLI </t>
    </r>
    <r>
      <rPr>
        <sz val="10"/>
        <color rgb="FF222222"/>
        <rFont val="Noto Sans CJK SC"/>
        <family val="2"/>
      </rPr>
      <t xml:space="preserve">冷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Noto Sans CJK SC"/>
        <family val="2"/>
      </rPr>
      <t xml:space="preserve">熱遷移腳本（</t>
    </r>
    <r>
      <rPr>
        <sz val="10"/>
        <color rgb="FF222222"/>
        <rFont val="Arial"/>
        <family val="0"/>
        <charset val="1"/>
      </rPr>
      <t xml:space="preserve">PowerCLI </t>
    </r>
    <r>
      <rPr>
        <sz val="10"/>
        <color rgb="FF222222"/>
        <rFont val="Noto Sans CJK SC"/>
        <family val="2"/>
      </rPr>
      <t xml:space="preserve">模組需釘同一版 </t>
    </r>
    <r>
      <rPr>
        <sz val="10"/>
        <color rgb="FF222222"/>
        <rFont val="Arial"/>
        <family val="0"/>
        <charset val="1"/>
      </rPr>
      <t xml:space="preserve">13.5</t>
    </r>
    <r>
      <rPr>
        <sz val="10"/>
        <color rgb="FF222222"/>
        <rFont val="Noto Sans CJK SC"/>
        <family val="2"/>
      </rPr>
      <t xml:space="preserve">）</t>
    </r>
  </si>
  <si>
    <t xml:space="preserve">runbooks/vra8-cross-vcenter-migration-day2-power.md</t>
  </si>
  <si>
    <r>
      <rPr>
        <sz val="10"/>
        <color rgb="FF222222"/>
        <rFont val="Arial"/>
        <family val="0"/>
        <charset val="1"/>
      </rPr>
      <t xml:space="preserve">vRA </t>
    </r>
    <r>
      <rPr>
        <sz val="10"/>
        <color rgb="FF222222"/>
        <rFont val="Noto Sans CJK SC"/>
        <family val="2"/>
      </rPr>
      <t xml:space="preserve">管的 </t>
    </r>
    <r>
      <rPr>
        <sz val="10"/>
        <color rgb="FF222222"/>
        <rFont val="Arial"/>
        <family val="0"/>
        <charset val="1"/>
      </rPr>
      <t xml:space="preserve">workload VM </t>
    </r>
    <r>
      <rPr>
        <sz val="10"/>
        <color rgb="FF222222"/>
        <rFont val="Noto Sans CJK SC"/>
        <family val="2"/>
      </rPr>
      <t xml:space="preserve">跨 </t>
    </r>
    <r>
      <rPr>
        <sz val="10"/>
        <color rgb="FF222222"/>
        <rFont val="Arial"/>
        <family val="0"/>
        <charset val="1"/>
      </rPr>
      <t xml:space="preserve">vCenter </t>
    </r>
    <r>
      <rPr>
        <sz val="10"/>
        <color rgb="FF222222"/>
        <rFont val="Noto Sans CJK SC"/>
        <family val="2"/>
      </rPr>
      <t xml:space="preserve">搬遷後 </t>
    </r>
    <r>
      <rPr>
        <sz val="10"/>
        <color rgb="FF222222"/>
        <rFont val="Arial"/>
        <family val="0"/>
        <charset val="1"/>
      </rPr>
      <t xml:space="preserve">Day-2 </t>
    </r>
    <r>
      <rPr>
        <sz val="10"/>
        <color rgb="FF222222"/>
        <rFont val="Noto Sans CJK SC"/>
        <family val="2"/>
      </rPr>
      <t xml:space="preserve">可用；</t>
    </r>
    <r>
      <rPr>
        <sz val="10"/>
        <color rgb="FF222222"/>
        <rFont val="Arial"/>
        <family val="0"/>
        <charset val="1"/>
      </rPr>
      <t xml:space="preserve">_ovfenv ISO </t>
    </r>
    <r>
      <rPr>
        <sz val="10"/>
        <color rgb="FF222222"/>
        <rFont val="Noto Sans CJK SC"/>
        <family val="2"/>
      </rPr>
      <t xml:space="preserve">擋熱 </t>
    </r>
    <r>
      <rPr>
        <sz val="10"/>
        <color rgb="FF222222"/>
        <rFont val="Arial"/>
        <family val="0"/>
        <charset val="1"/>
      </rPr>
      <t xml:space="preserve">vMotion → </t>
    </r>
    <r>
      <rPr>
        <sz val="10"/>
        <color rgb="FF222222"/>
        <rFont val="Noto Sans CJK SC"/>
        <family val="2"/>
      </rPr>
      <t xml:space="preserve">冷搬（對象是 </t>
    </r>
    <r>
      <rPr>
        <sz val="10"/>
        <color rgb="FF222222"/>
        <rFont val="Arial"/>
        <family val="0"/>
        <charset val="1"/>
      </rPr>
      <t xml:space="preserve">workload VM</t>
    </r>
    <r>
      <rPr>
        <sz val="10"/>
        <color rgb="FF222222"/>
        <rFont val="Noto Sans CJK SC"/>
        <family val="2"/>
      </rPr>
      <t xml:space="preserve">，不是 </t>
    </r>
    <r>
      <rPr>
        <sz val="10"/>
        <color rgb="FF222222"/>
        <rFont val="Arial"/>
        <family val="0"/>
        <charset val="1"/>
      </rPr>
      <t xml:space="preserve">appliance</t>
    </r>
    <r>
      <rPr>
        <sz val="10"/>
        <color rgb="FF222222"/>
        <rFont val="Noto Sans CJK SC"/>
        <family val="2"/>
      </rPr>
      <t xml:space="preserve">）</t>
    </r>
  </si>
  <si>
    <t xml:space="preserve">S02 / S04</t>
  </si>
  <si>
    <t xml:space="preserve">vcf9.1-lab-private（private）</t>
  </si>
  <si>
    <r>
      <rPr>
        <sz val="10"/>
        <color rgb="FF222222"/>
        <rFont val="Arial"/>
        <family val="0"/>
        <charset val="1"/>
      </rPr>
      <t xml:space="preserve">installer-deploy/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Invoke-Vcf9InstallerDeploy_v1.ps1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spec/management-domain.template_v1.json</t>
    </r>
    <r>
      <rPr>
        <sz val="10"/>
        <color rgb="FF222222"/>
        <rFont val="Noto Sans CJK SC"/>
        <family val="2"/>
      </rPr>
      <t xml:space="preserve">）</t>
    </r>
  </si>
  <si>
    <r>
      <rPr>
        <sz val="10"/>
        <color rgb="FF222222"/>
        <rFont val="Arial"/>
        <family val="0"/>
        <charset val="1"/>
      </rPr>
      <t xml:space="preserve">Installer </t>
    </r>
    <r>
      <rPr>
        <sz val="10"/>
        <color rgb="FF222222"/>
        <rFont val="Noto Sans CJK SC"/>
        <family val="2"/>
      </rPr>
      <t xml:space="preserve">部署腳本與 </t>
    </r>
    <r>
      <rPr>
        <sz val="10"/>
        <color rgb="FF222222"/>
        <rFont val="Arial"/>
        <family val="0"/>
        <charset val="1"/>
      </rPr>
      <t xml:space="preserve">spec </t>
    </r>
    <r>
      <rPr>
        <sz val="10"/>
        <color rgb="FF222222"/>
        <rFont val="Noto Sans CJK SC"/>
        <family val="2"/>
      </rPr>
      <t xml:space="preserve">範本</t>
    </r>
  </si>
  <si>
    <t xml:space="preserve">vcf9offlinescript</t>
  </si>
  <si>
    <r>
      <rPr>
        <sz val="10"/>
        <color rgb="FF222222"/>
        <rFont val="Arial"/>
        <family val="0"/>
        <charset val="1"/>
      </rPr>
      <t xml:space="preserve">README.md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CUSTOMER-DEPLOY-GUIDE.md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create_vcf9_depot_server_v5.sh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import_vcf9depot_ca.sh</t>
    </r>
  </si>
  <si>
    <r>
      <rPr>
        <sz val="10"/>
        <color rgb="FF222222"/>
        <rFont val="Arial"/>
        <family val="0"/>
        <charset val="1"/>
      </rPr>
      <t xml:space="preserve">Offline depot </t>
    </r>
    <r>
      <rPr>
        <sz val="10"/>
        <color rgb="FF222222"/>
        <rFont val="Noto Sans CJK SC"/>
        <family val="2"/>
      </rPr>
      <t xml:space="preserve">一鍵建置（</t>
    </r>
    <r>
      <rPr>
        <sz val="10"/>
        <color rgb="FF222222"/>
        <rFont val="Arial"/>
        <family val="0"/>
        <charset val="1"/>
      </rPr>
      <t xml:space="preserve">nginx / apache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HTTPS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basic auth</t>
    </r>
    <r>
      <rPr>
        <sz val="10"/>
        <color rgb="FF222222"/>
        <rFont val="Noto Sans CJK SC"/>
        <family val="2"/>
      </rPr>
      <t xml:space="preserve">）、</t>
    </r>
    <r>
      <rPr>
        <sz val="10"/>
        <color rgb="FF222222"/>
        <rFont val="Arial"/>
        <family val="0"/>
        <charset val="1"/>
      </rPr>
      <t xml:space="preserve">CA </t>
    </r>
    <r>
      <rPr>
        <sz val="10"/>
        <color rgb="FF222222"/>
        <rFont val="Noto Sans CJK SC"/>
        <family val="2"/>
      </rPr>
      <t xml:space="preserve">匯入 </t>
    </r>
    <r>
      <rPr>
        <sz val="10"/>
        <color rgb="FF222222"/>
        <rFont val="Arial"/>
        <family val="0"/>
        <charset val="1"/>
      </rPr>
      <t xml:space="preserve">Installer / SDDC Manager / VCF Ops</t>
    </r>
    <r>
      <rPr>
        <sz val="10"/>
        <color rgb="FF222222"/>
        <rFont val="Noto Sans CJK SC"/>
        <family val="2"/>
      </rPr>
      <t xml:space="preserve">、客戶交付指南</t>
    </r>
  </si>
  <si>
    <r>
      <rPr>
        <sz val="10"/>
        <color rgb="FF222222"/>
        <rFont val="Arial"/>
        <family val="0"/>
        <charset val="1"/>
      </rPr>
      <t xml:space="preserve">INSTALLER_CONNECT_TROUBLESHOOTING.md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DEPOT-WAY-A/B/C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DOWNLOAD-INTO-DEPOT.md</t>
    </r>
  </si>
  <si>
    <r>
      <rPr>
        <sz val="10"/>
        <color rgb="FF222222"/>
        <rFont val="Arial"/>
        <family val="0"/>
        <charset val="1"/>
      </rPr>
      <t xml:space="preserve">Installer </t>
    </r>
    <r>
      <rPr>
        <sz val="10"/>
        <color rgb="FF222222"/>
        <rFont val="Noto Sans CJK SC"/>
        <family val="2"/>
      </rPr>
      <t xml:space="preserve">連 </t>
    </r>
    <r>
      <rPr>
        <sz val="10"/>
        <color rgb="FF222222"/>
        <rFont val="Arial"/>
        <family val="0"/>
        <charset val="1"/>
      </rPr>
      <t xml:space="preserve">depot </t>
    </r>
    <r>
      <rPr>
        <sz val="10"/>
        <color rgb="FF222222"/>
        <rFont val="Noto Sans CJK SC"/>
        <family val="2"/>
      </rPr>
      <t xml:space="preserve">除錯；三種灌 </t>
    </r>
    <r>
      <rPr>
        <sz val="10"/>
        <color rgb="FF222222"/>
        <rFont val="Arial"/>
        <family val="0"/>
        <charset val="1"/>
      </rPr>
      <t xml:space="preserve">binaries </t>
    </r>
    <r>
      <rPr>
        <sz val="10"/>
        <color rgb="FF222222"/>
        <rFont val="Noto Sans CJK SC"/>
        <family val="2"/>
      </rPr>
      <t xml:space="preserve">的方式</t>
    </r>
  </si>
  <si>
    <t xml:space="preserve">vcf-download-tool</t>
  </si>
  <si>
    <t xml:space="preserve">README / CLI-REFERENCE / GOTCHAS / PROXY / WINDOWS</t>
  </si>
  <si>
    <r>
      <rPr>
        <sz val="10"/>
        <color rgb="FF222222"/>
        <rFont val="Arial"/>
        <family val="0"/>
        <charset val="1"/>
      </rPr>
      <t xml:space="preserve">VCF Download Tool </t>
    </r>
    <r>
      <rPr>
        <sz val="10"/>
        <color rgb="FF222222"/>
        <rFont val="Noto Sans CJK SC"/>
        <family val="2"/>
      </rPr>
      <t xml:space="preserve">用法、</t>
    </r>
    <r>
      <rPr>
        <sz val="10"/>
        <color rgb="FF222222"/>
        <rFont val="Arial"/>
        <family val="0"/>
        <charset val="1"/>
      </rPr>
      <t xml:space="preserve">proxy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Windows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activation code </t>
    </r>
    <r>
      <rPr>
        <sz val="10"/>
        <color rgb="FF222222"/>
        <rFont val="Noto Sans CJK SC"/>
        <family val="2"/>
      </rPr>
      <t xml:space="preserve">判讀</t>
    </r>
  </si>
  <si>
    <t xml:space="preserve">vcf9.1-lab-private（private）/ vcf9offlinescript</t>
  </si>
  <si>
    <t xml:space="preserve">FLEET-DEPOT-CA-TRUST.md</t>
  </si>
  <si>
    <r>
      <rPr>
        <sz val="10"/>
        <color rgb="FF222222"/>
        <rFont val="Arial"/>
        <family val="0"/>
        <charset val="1"/>
      </rPr>
      <t xml:space="preserve">Fleet Depot Service </t>
    </r>
    <r>
      <rPr>
        <sz val="10"/>
        <color rgb="FF222222"/>
        <rFont val="Noto Sans CJK SC"/>
        <family val="2"/>
      </rPr>
      <t xml:space="preserve">信任自簽 </t>
    </r>
    <r>
      <rPr>
        <sz val="10"/>
        <color rgb="FF222222"/>
        <rFont val="Arial"/>
        <family val="0"/>
        <charset val="1"/>
      </rPr>
      <t xml:space="preserve">depot CA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KB 442978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private </t>
    </r>
    <r>
      <rPr>
        <sz val="10"/>
        <color rgb="FF222222"/>
        <rFont val="Noto Sans CJK SC"/>
        <family val="2"/>
      </rPr>
      <t xml:space="preserve">版含腳本）</t>
    </r>
  </si>
  <si>
    <t xml:space="preserve">v8tov9</t>
  </si>
  <si>
    <r>
      <rPr>
        <sz val="10"/>
        <color rgb="FF222222"/>
        <rFont val="Arial"/>
        <family val="0"/>
        <charset val="1"/>
      </rPr>
      <t xml:space="preserve">converge/README.md</t>
    </r>
    <r>
      <rPr>
        <sz val="10"/>
        <color rgb="FF222222"/>
        <rFont val="Noto Sans CJK SC"/>
        <family val="2"/>
      </rPr>
      <t xml:space="preserve">（範本 </t>
    </r>
    <r>
      <rPr>
        <sz val="10"/>
        <color rgb="FF222222"/>
        <rFont val="Arial"/>
        <family val="0"/>
        <charset val="1"/>
      </rPr>
      <t xml:space="preserve">1–3</t>
    </r>
    <r>
      <rPr>
        <sz val="10"/>
        <color rgb="FF222222"/>
        <rFont val="Noto Sans CJK SC"/>
        <family val="2"/>
      </rPr>
      <t xml:space="preserve">）</t>
    </r>
  </si>
  <si>
    <r>
      <rPr>
        <sz val="10"/>
        <color rgb="FF222222"/>
        <rFont val="Arial"/>
        <family val="0"/>
        <charset val="1"/>
      </rPr>
      <t xml:space="preserve">Converge 9.1.1 JSON </t>
    </r>
    <r>
      <rPr>
        <sz val="10"/>
        <color rgb="FF222222"/>
        <rFont val="Noto Sans CJK SC"/>
        <family val="2"/>
      </rPr>
      <t xml:space="preserve">範本：不給 </t>
    </r>
    <r>
      <rPr>
        <sz val="10"/>
        <color rgb="FF222222"/>
        <rFont val="Arial"/>
        <family val="0"/>
        <charset val="1"/>
      </rPr>
      <t xml:space="preserve">TEP / </t>
    </r>
    <r>
      <rPr>
        <sz val="10"/>
        <color rgb="FF222222"/>
        <rFont val="Noto Sans CJK SC"/>
        <family val="2"/>
      </rPr>
      <t xml:space="preserve">沿用既有 </t>
    </r>
    <r>
      <rPr>
        <sz val="10"/>
        <color rgb="FF222222"/>
        <rFont val="Arial"/>
        <family val="0"/>
        <charset val="1"/>
      </rPr>
      <t xml:space="preserve">NSX / </t>
    </r>
    <r>
      <rPr>
        <sz val="10"/>
        <color rgb="FF222222"/>
        <rFont val="Noto Sans CJK SC"/>
        <family val="2"/>
      </rPr>
      <t xml:space="preserve">多 </t>
    </r>
    <r>
      <rPr>
        <sz val="10"/>
        <color rgb="FF222222"/>
        <rFont val="Arial"/>
        <family val="0"/>
        <charset val="1"/>
      </rPr>
      <t xml:space="preserve">cluster</t>
    </r>
    <r>
      <rPr>
        <sz val="10"/>
        <color rgb="FF222222"/>
        <rFont val="Noto Sans CJK SC"/>
        <family val="2"/>
      </rPr>
      <t xml:space="preserve">；逐 </t>
    </r>
    <r>
      <rPr>
        <sz val="10"/>
        <color rgb="FF222222"/>
        <rFont val="Arial"/>
        <family val="0"/>
        <charset val="1"/>
      </rPr>
      <t xml:space="preserve">cluster </t>
    </r>
    <r>
      <rPr>
        <sz val="10"/>
        <color rgb="FF222222"/>
        <rFont val="Noto Sans CJK SC"/>
        <family val="2"/>
      </rPr>
      <t xml:space="preserve">驗證項；</t>
    </r>
    <r>
      <rPr>
        <sz val="10"/>
        <color rgb="FF222222"/>
        <rFont val="Arial"/>
        <family val="0"/>
        <charset val="1"/>
      </rPr>
      <t xml:space="preserve">evacuate_offline_vms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vSS </t>
    </r>
    <r>
      <rPr>
        <sz val="10"/>
        <color rgb="FF222222"/>
        <rFont val="Noto Sans CJK SC"/>
        <family val="2"/>
      </rPr>
      <t xml:space="preserve">是硬擋點</t>
    </r>
  </si>
  <si>
    <r>
      <rPr>
        <sz val="10"/>
        <color rgb="FF222222"/>
        <rFont val="Arial"/>
        <family val="0"/>
        <charset val="1"/>
      </rPr>
      <t xml:space="preserve">converge/no-overlay/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README + VCF911-Converge-NoOverlay.docx</t>
    </r>
    <r>
      <rPr>
        <sz val="10"/>
        <color rgb="FF222222"/>
        <rFont val="Noto Sans CJK SC"/>
        <family val="2"/>
      </rPr>
      <t xml:space="preserve">）</t>
    </r>
  </si>
  <si>
    <r>
      <rPr>
        <sz val="10"/>
        <color rgb="FF222222"/>
        <rFont val="Noto Sans CJK SC"/>
        <family val="2"/>
      </rPr>
      <t xml:space="preserve">完全不部署 </t>
    </r>
    <r>
      <rPr>
        <sz val="10"/>
        <color rgb="FF222222"/>
        <rFont val="Arial"/>
        <family val="0"/>
        <charset val="1"/>
      </rPr>
      <t xml:space="preserve">overlay </t>
    </r>
    <r>
      <rPr>
        <sz val="10"/>
        <color rgb="FF222222"/>
        <rFont val="Noto Sans CJK SC"/>
        <family val="2"/>
      </rPr>
      <t xml:space="preserve">的 </t>
    </r>
    <r>
      <rPr>
        <sz val="10"/>
        <color rgb="FF222222"/>
        <rFont val="Arial"/>
        <family val="0"/>
        <charset val="1"/>
      </rPr>
      <t xml:space="preserve">converge</t>
    </r>
    <r>
      <rPr>
        <sz val="10"/>
        <color rgb="FF222222"/>
        <rFont val="Noto Sans CJK SC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23 </t>
    </r>
    <r>
      <rPr>
        <sz val="10"/>
        <color rgb="FF222222"/>
        <rFont val="Noto Sans CJK SC"/>
        <family val="2"/>
      </rPr>
      <t xml:space="preserve">頁手冊、</t>
    </r>
    <r>
      <rPr>
        <sz val="10"/>
        <color rgb="FF222222"/>
        <rFont val="Arial"/>
        <family val="0"/>
        <charset val="1"/>
      </rPr>
      <t xml:space="preserve">5 </t>
    </r>
    <r>
      <rPr>
        <sz val="10"/>
        <color rgb="FF222222"/>
        <rFont val="Noto Sans CJK SC"/>
        <family val="2"/>
      </rPr>
      <t xml:space="preserve">個里程碑耗時、</t>
    </r>
    <r>
      <rPr>
        <sz val="10"/>
        <color rgb="FF222222"/>
        <rFont val="Arial"/>
        <family val="0"/>
        <charset val="1"/>
      </rPr>
      <t xml:space="preserve">14 </t>
    </r>
    <r>
      <rPr>
        <sz val="10"/>
        <color rgb="FF222222"/>
        <rFont val="Noto Sans CJK SC"/>
        <family val="2"/>
      </rPr>
      <t xml:space="preserve">個踩坑速查</t>
    </r>
  </si>
  <si>
    <t xml:space="preserve">converge-existing-ops/README.md</t>
  </si>
  <si>
    <r>
      <rPr>
        <sz val="10"/>
        <color rgb="FF222222"/>
        <rFont val="Noto Sans CJK SC"/>
        <family val="2"/>
      </rPr>
      <t xml:space="preserve">沿用既有 </t>
    </r>
    <r>
      <rPr>
        <sz val="10"/>
        <color rgb="FF222222"/>
        <rFont val="Arial"/>
        <family val="0"/>
        <charset val="1"/>
      </rPr>
      <t xml:space="preserve">VCF Ops / License Server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Plan › Existing Component</t>
    </r>
    <r>
      <rPr>
        <sz val="10"/>
        <color rgb="FF222222"/>
        <rFont val="Noto Sans CJK SC"/>
        <family val="2"/>
      </rPr>
      <t xml:space="preserve">；容量驗證只看叢集總量；</t>
    </r>
    <r>
      <rPr>
        <sz val="10"/>
        <color rgb="FF222222"/>
        <rFont val="Arial"/>
        <family val="0"/>
        <charset val="1"/>
      </rPr>
      <t xml:space="preserve">depot URL </t>
    </r>
    <r>
      <rPr>
        <sz val="10"/>
        <color rgb="FF222222"/>
        <rFont val="Noto Sans CJK SC"/>
        <family val="2"/>
      </rPr>
      <t xml:space="preserve">用 </t>
    </r>
    <r>
      <rPr>
        <sz val="10"/>
        <color rgb="FF222222"/>
        <rFont val="Arial"/>
        <family val="0"/>
        <charset val="1"/>
      </rPr>
      <t xml:space="preserve">IP</t>
    </r>
  </si>
  <si>
    <t xml:space="preserve">debug-vcf9.1</t>
  </si>
  <si>
    <r>
      <rPr>
        <sz val="10"/>
        <color rgb="FF222222"/>
        <rFont val="Arial"/>
        <family val="0"/>
        <charset val="1"/>
      </rPr>
      <t xml:space="preserve">08-ops-loss-and-mgmt-rebuild.md §4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04-bringup-failures.md</t>
    </r>
  </si>
  <si>
    <r>
      <rPr>
        <sz val="10"/>
        <color rgb="FF222222"/>
        <rFont val="Arial"/>
        <family val="0"/>
        <charset val="1"/>
      </rPr>
      <t xml:space="preserve">Converge </t>
    </r>
    <r>
      <rPr>
        <sz val="10"/>
        <color rgb="FF222222"/>
        <rFont val="Noto Sans CJK SC"/>
        <family val="2"/>
      </rPr>
      <t xml:space="preserve">精靈踩雷：</t>
    </r>
    <r>
      <rPr>
        <sz val="10"/>
        <color rgb="FF222222"/>
        <rFont val="Arial"/>
        <family val="0"/>
        <charset val="1"/>
      </rPr>
      <t xml:space="preserve">IP Pool ≥ 12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DRS fully automated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certificate chain</t>
    </r>
  </si>
  <si>
    <t xml:space="preserve">S05 / S06</t>
  </si>
  <si>
    <t xml:space="preserve">runbooks/vcf911-vra8-import-upgrade-worklog.md</t>
  </si>
  <si>
    <r>
      <rPr>
        <sz val="10"/>
        <color rgb="FF222222"/>
        <rFont val="Arial"/>
        <family val="0"/>
        <charset val="1"/>
      </rPr>
      <t xml:space="preserve">Import </t>
    </r>
    <r>
      <rPr>
        <sz val="10"/>
        <color rgb="FF222222"/>
        <rFont val="Noto Sans CJK SC"/>
        <family val="2"/>
      </rPr>
      <t xml:space="preserve">精靈、</t>
    </r>
    <r>
      <rPr>
        <sz val="10"/>
        <color rgb="FF222222"/>
        <rFont val="Arial"/>
        <family val="0"/>
        <charset val="1"/>
      </rPr>
      <t xml:space="preserve">precheck </t>
    </r>
    <r>
      <rPr>
        <sz val="10"/>
        <color rgb="FF222222"/>
        <rFont val="Noto Sans CJK SC"/>
        <family val="2"/>
      </rPr>
      <t xml:space="preserve">擋點（管理網域、</t>
    </r>
    <r>
      <rPr>
        <sz val="10"/>
        <color rgb="FF222222"/>
        <rFont val="Arial"/>
        <family val="0"/>
        <charset val="1"/>
      </rPr>
      <t xml:space="preserve">KB 425489</t>
    </r>
    <r>
      <rPr>
        <sz val="10"/>
        <color rgb="FF222222"/>
        <rFont val="Noto Sans CJK SC"/>
        <family val="2"/>
      </rPr>
      <t xml:space="preserve">）、藍綠升級階段、</t>
    </r>
    <r>
      <rPr>
        <sz val="10"/>
        <color rgb="FF222222"/>
        <rFont val="Arial"/>
        <family val="0"/>
        <charset val="1"/>
      </rPr>
      <t xml:space="preserve">fleet </t>
    </r>
    <r>
      <rPr>
        <sz val="10"/>
        <color rgb="FF222222"/>
        <rFont val="Noto Sans CJK SC"/>
        <family val="2"/>
      </rPr>
      <t xml:space="preserve">誤報 </t>
    </r>
    <r>
      <rPr>
        <sz val="10"/>
        <color rgb="FF222222"/>
        <rFont val="Arial"/>
        <family val="0"/>
        <charset val="1"/>
      </rPr>
      <t xml:space="preserve">failed </t>
    </r>
    <r>
      <rPr>
        <sz val="10"/>
        <color rgb="FF222222"/>
        <rFont val="Noto Sans CJK SC"/>
        <family val="2"/>
      </rPr>
      <t xml:space="preserve">的 </t>
    </r>
    <r>
      <rPr>
        <sz val="10"/>
        <color rgb="FF222222"/>
        <rFont val="Arial"/>
        <family val="0"/>
        <charset val="1"/>
      </rPr>
      <t xml:space="preserve">4 </t>
    </r>
    <r>
      <rPr>
        <sz val="10"/>
        <color rgb="FF222222"/>
        <rFont val="Noto Sans CJK SC"/>
        <family val="2"/>
      </rPr>
      <t xml:space="preserve">項證據</t>
    </r>
  </si>
  <si>
    <r>
      <rPr>
        <sz val="10"/>
        <color rgb="FF222222"/>
        <rFont val="Arial"/>
        <family val="0"/>
        <charset val="1"/>
      </rPr>
      <t xml:space="preserve">deliverables/kb441333-vcfa-removal/</t>
    </r>
    <r>
      <rPr>
        <sz val="10"/>
        <color rgb="FF222222"/>
        <rFont val="Noto Sans CJK SC"/>
        <family val="2"/>
      </rPr>
      <t xml:space="preserve">（含 </t>
    </r>
    <r>
      <rPr>
        <sz val="10"/>
        <color rgb="FF222222"/>
        <rFont val="Arial"/>
        <family val="0"/>
        <charset val="1"/>
      </rPr>
      <t xml:space="preserve">m03-test-notes-20261007.md</t>
    </r>
    <r>
      <rPr>
        <sz val="10"/>
        <color rgb="FF222222"/>
        <rFont val="Noto Sans CJK SC"/>
        <family val="2"/>
      </rPr>
      <t xml:space="preserve">）</t>
    </r>
  </si>
  <si>
    <r>
      <rPr>
        <sz val="10"/>
        <color rgb="FF222222"/>
        <rFont val="Arial"/>
        <family val="0"/>
        <charset val="1"/>
      </rPr>
      <t xml:space="preserve">VCFA </t>
    </r>
    <r>
      <rPr>
        <sz val="10"/>
        <color rgb="FF222222"/>
        <rFont val="Noto Sans CJK SC"/>
        <family val="2"/>
      </rPr>
      <t xml:space="preserve">正常移除三步；</t>
    </r>
    <r>
      <rPr>
        <sz val="10"/>
        <color rgb="FF222222"/>
        <rFont val="Arial"/>
        <family val="0"/>
        <charset val="1"/>
      </rPr>
      <t xml:space="preserve">9.1.1 </t>
    </r>
    <r>
      <rPr>
        <sz val="10"/>
        <color rgb="FF222222"/>
        <rFont val="Noto Sans CJK SC"/>
        <family val="2"/>
      </rPr>
      <t xml:space="preserve">移除後再匯入 </t>
    </r>
    <r>
      <rPr>
        <sz val="10"/>
        <color rgb="FF222222"/>
        <rFont val="Arial"/>
        <family val="0"/>
        <charset val="1"/>
      </rPr>
      <t xml:space="preserve">vRA 8 </t>
    </r>
    <r>
      <rPr>
        <sz val="10"/>
        <color rgb="FF222222"/>
        <rFont val="Noto Sans CJK SC"/>
        <family val="2"/>
      </rPr>
      <t xml:space="preserve">並升級成功（</t>
    </r>
    <r>
      <rPr>
        <sz val="10"/>
        <color rgb="FF222222"/>
        <rFont val="Arial"/>
        <family val="0"/>
        <charset val="1"/>
      </rPr>
      <t xml:space="preserve">import 5 </t>
    </r>
    <r>
      <rPr>
        <sz val="10"/>
        <color rgb="FF222222"/>
        <rFont val="Noto Sans CJK SC"/>
        <family val="2"/>
      </rPr>
      <t xml:space="preserve">分、升級 </t>
    </r>
    <r>
      <rPr>
        <sz val="10"/>
        <color rgb="FF222222"/>
        <rFont val="Arial"/>
        <family val="0"/>
        <charset val="1"/>
      </rPr>
      <t xml:space="preserve">4 h 47 m</t>
    </r>
    <r>
      <rPr>
        <sz val="10"/>
        <color rgb="FF222222"/>
        <rFont val="Noto Sans CJK SC"/>
        <family val="2"/>
      </rPr>
      <t xml:space="preserve">）</t>
    </r>
  </si>
  <si>
    <t xml:space="preserve">runbooks/vcfa-reset-provider-password.md</t>
  </si>
  <si>
    <r>
      <rPr>
        <sz val="10"/>
        <color rgb="FF222222"/>
        <rFont val="Arial"/>
        <family val="0"/>
        <charset val="1"/>
      </rPr>
      <t xml:space="preserve">Provider </t>
    </r>
    <r>
      <rPr>
        <sz val="10"/>
        <color rgb="FF222222"/>
        <rFont val="Noto Sans CJK SC"/>
        <family val="2"/>
      </rPr>
      <t xml:space="preserve">密碼遺失時的重設程序</t>
    </r>
  </si>
  <si>
    <t xml:space="preserve">runbooks/vcf911-vcfa-fleet-record-manual-fix-optionB.md</t>
  </si>
  <si>
    <r>
      <rPr>
        <sz val="10"/>
        <color rgb="FF222222"/>
        <rFont val="Noto Sans CJK SC"/>
        <family val="2"/>
      </rPr>
      <t xml:space="preserve">⚠ 非官方：</t>
    </r>
    <r>
      <rPr>
        <sz val="10"/>
        <color rgb="FF222222"/>
        <rFont val="Arial"/>
        <family val="0"/>
        <charset val="1"/>
      </rPr>
      <t xml:space="preserve">fleet </t>
    </r>
    <r>
      <rPr>
        <sz val="10"/>
        <color rgb="FF222222"/>
        <rFont val="Noto Sans CJK SC"/>
        <family val="2"/>
      </rPr>
      <t xml:space="preserve">帳面補正（僅限 </t>
    </r>
    <r>
      <rPr>
        <sz val="10"/>
        <color rgb="FF222222"/>
        <rFont val="Arial"/>
        <family val="0"/>
        <charset val="1"/>
      </rPr>
      <t xml:space="preserve">lab</t>
    </r>
    <r>
      <rPr>
        <sz val="10"/>
        <color rgb="FF222222"/>
        <rFont val="Noto Sans CJK SC"/>
        <family val="2"/>
      </rPr>
      <t xml:space="preserve">；客戶環境請開 </t>
    </r>
    <r>
      <rPr>
        <sz val="10"/>
        <color rgb="FF222222"/>
        <rFont val="Arial"/>
        <family val="0"/>
        <charset val="1"/>
      </rPr>
      <t xml:space="preserve">SR</t>
    </r>
    <r>
      <rPr>
        <sz val="10"/>
        <color rgb="FF222222"/>
        <rFont val="Noto Sans CJK SC"/>
        <family val="2"/>
      </rPr>
      <t xml:space="preserve">）</t>
    </r>
  </si>
  <si>
    <t xml:space="preserve">06-vcfa.md</t>
  </si>
  <si>
    <r>
      <rPr>
        <sz val="10"/>
        <color rgb="FF222222"/>
        <rFont val="Arial"/>
        <family val="0"/>
        <charset val="1"/>
      </rPr>
      <t xml:space="preserve">VCFA </t>
    </r>
    <r>
      <rPr>
        <sz val="10"/>
        <color rgb="FF222222"/>
        <rFont val="Noto Sans CJK SC"/>
        <family val="2"/>
      </rPr>
      <t xml:space="preserve">應用層除錯（</t>
    </r>
    <r>
      <rPr>
        <sz val="10"/>
        <color rgb="FF222222"/>
        <rFont val="Arial"/>
        <family val="0"/>
        <charset val="1"/>
      </rPr>
      <t xml:space="preserve">gateway / pods / region quota</t>
    </r>
    <r>
      <rPr>
        <sz val="10"/>
        <color rgb="FF222222"/>
        <rFont val="Noto Sans CJK SC"/>
        <family val="2"/>
      </rPr>
      <t xml:space="preserve">）</t>
    </r>
  </si>
  <si>
    <t xml:space="preserve">vc-8.0.3-to-9.1.1-firstboot-failure/README.md</t>
  </si>
  <si>
    <r>
      <rPr>
        <sz val="10"/>
        <color rgb="FF222222"/>
        <rFont val="Arial"/>
        <family val="0"/>
        <charset val="1"/>
      </rPr>
      <t xml:space="preserve">vCenter 8.0.3 → 9.1.1 GUI </t>
    </r>
    <r>
      <rPr>
        <sz val="10"/>
        <color rgb="FF222222"/>
        <rFont val="Noto Sans CJK SC"/>
        <family val="2"/>
      </rPr>
      <t xml:space="preserve">兩階段失敗 </t>
    </r>
    <r>
      <rPr>
        <sz val="10"/>
        <color rgb="FF222222"/>
        <rFont val="Arial"/>
        <family val="0"/>
        <charset val="1"/>
      </rPr>
      <t xml:space="preserve">RCA</t>
    </r>
    <r>
      <rPr>
        <sz val="10"/>
        <color rgb="FF222222"/>
        <rFont val="Noto Sans CJK SC"/>
        <family val="2"/>
      </rPr>
      <t xml:space="preserve">；建議 </t>
    </r>
    <r>
      <rPr>
        <sz val="10"/>
        <color rgb="FF222222"/>
        <rFont val="Arial"/>
        <family val="0"/>
        <charset val="1"/>
      </rPr>
      <t xml:space="preserve">RDU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33 </t>
    </r>
    <r>
      <rPr>
        <sz val="10"/>
        <color rgb="FF222222"/>
        <rFont val="Noto Sans CJK SC"/>
        <family val="2"/>
      </rPr>
      <t xml:space="preserve">分、停機約 </t>
    </r>
    <r>
      <rPr>
        <sz val="10"/>
        <color rgb="FF222222"/>
        <rFont val="Arial"/>
        <family val="0"/>
        <charset val="1"/>
      </rPr>
      <t xml:space="preserve">5 </t>
    </r>
    <r>
      <rPr>
        <sz val="10"/>
        <color rgb="FF222222"/>
        <rFont val="Noto Sans CJK SC"/>
        <family val="2"/>
      </rPr>
      <t xml:space="preserve">分）；</t>
    </r>
    <r>
      <rPr>
        <sz val="10"/>
        <color rgb="FF222222"/>
        <rFont val="Arial"/>
        <family val="0"/>
        <charset val="1"/>
      </rPr>
      <t xml:space="preserve">KB 396777</t>
    </r>
  </si>
  <si>
    <t xml:space="preserve">doc/vcenter-8.0-to-9.1/vc8-0-3-to-9-1-migration-upgrade.docx</t>
  </si>
  <si>
    <r>
      <rPr>
        <sz val="10"/>
        <color rgb="FF222222"/>
        <rFont val="Arial"/>
        <family val="0"/>
        <charset val="1"/>
      </rPr>
      <t xml:space="preserve">vCenter 8.0.3 → 9.1 </t>
    </r>
    <r>
      <rPr>
        <sz val="10"/>
        <color rgb="FF222222"/>
        <rFont val="Noto Sans CJK SC"/>
        <family val="2"/>
      </rPr>
      <t xml:space="preserve">升級 </t>
    </r>
    <r>
      <rPr>
        <sz val="10"/>
        <color rgb="FF222222"/>
        <rFont val="Arial"/>
        <family val="0"/>
        <charset val="1"/>
      </rPr>
      <t xml:space="preserve">walkthrough</t>
    </r>
  </si>
  <si>
    <r>
      <rPr>
        <sz val="10"/>
        <color rgb="FF222222"/>
        <rFont val="Arial"/>
        <family val="0"/>
        <charset val="1"/>
      </rPr>
      <t xml:space="preserve">import-wld/</t>
    </r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README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PHASE4-import-runbook.md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VCF911-CoverageLab-ImportWLD.docx</t>
    </r>
    <r>
      <rPr>
        <sz val="10"/>
        <color rgb="FF222222"/>
        <rFont val="Noto Sans CJK SC"/>
        <family val="2"/>
      </rPr>
      <t xml:space="preserve">）</t>
    </r>
  </si>
  <si>
    <r>
      <rPr>
        <sz val="10"/>
        <color rgb="FF222222"/>
        <rFont val="Noto Sans CJK SC"/>
        <family val="2"/>
      </rPr>
      <t xml:space="preserve">既有 </t>
    </r>
    <r>
      <rPr>
        <sz val="10"/>
        <color rgb="FF222222"/>
        <rFont val="Arial"/>
        <family val="0"/>
        <charset val="1"/>
      </rPr>
      <t xml:space="preserve">vSphere </t>
    </r>
    <r>
      <rPr>
        <sz val="10"/>
        <color rgb="FF222222"/>
        <rFont val="Noto Sans CJK SC"/>
        <family val="2"/>
      </rPr>
      <t xml:space="preserve">匯入 </t>
    </r>
    <r>
      <rPr>
        <sz val="10"/>
        <color rgb="FF222222"/>
        <rFont val="Arial"/>
        <family val="0"/>
        <charset val="1"/>
      </rPr>
      <t xml:space="preserve">VI WLD </t>
    </r>
    <r>
      <rPr>
        <sz val="10"/>
        <color rgb="FF222222"/>
        <rFont val="Noto Sans CJK SC"/>
        <family val="2"/>
      </rPr>
      <t xml:space="preserve">並共用管理網域 </t>
    </r>
    <r>
      <rPr>
        <sz val="10"/>
        <color rgb="FF222222"/>
        <rFont val="Arial"/>
        <family val="0"/>
        <charset val="1"/>
      </rPr>
      <t xml:space="preserve">NSX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precheck 3 </t>
    </r>
    <r>
      <rPr>
        <sz val="10"/>
        <color rgb="FF222222"/>
        <rFont val="Noto Sans CJK SC"/>
        <family val="2"/>
      </rPr>
      <t xml:space="preserve">個 </t>
    </r>
    <r>
      <rPr>
        <sz val="10"/>
        <color rgb="FF222222"/>
        <rFont val="Arial"/>
        <family val="0"/>
        <charset val="1"/>
      </rPr>
      <t xml:space="preserve">Error </t>
    </r>
    <r>
      <rPr>
        <sz val="10"/>
        <color rgb="FF222222"/>
        <rFont val="Noto Sans CJK SC"/>
        <family val="2"/>
      </rPr>
      <t xml:space="preserve">修法；</t>
    </r>
    <r>
      <rPr>
        <sz val="10"/>
        <color rgb="FF222222"/>
        <rFont val="Arial"/>
        <family val="0"/>
        <charset val="1"/>
      </rPr>
      <t xml:space="preserve">50 </t>
    </r>
    <r>
      <rPr>
        <sz val="10"/>
        <color rgb="FF222222"/>
        <rFont val="Noto Sans CJK SC"/>
        <family val="2"/>
      </rPr>
      <t xml:space="preserve">頁手冊</t>
    </r>
  </si>
  <si>
    <t xml:space="preserve">deliverables/kb452458-principal-datastore/</t>
  </si>
  <si>
    <r>
      <rPr>
        <sz val="10"/>
        <color rgb="FF222222"/>
        <rFont val="Noto Sans CJK SC"/>
        <family val="2"/>
      </rPr>
      <t xml:space="preserve">匯入叢集的 </t>
    </r>
    <r>
      <rPr>
        <sz val="10"/>
        <color rgb="FF222222"/>
        <rFont val="Arial"/>
        <family val="0"/>
        <charset val="1"/>
      </rPr>
      <t xml:space="preserve">principal datastore </t>
    </r>
    <r>
      <rPr>
        <sz val="10"/>
        <color rgb="FF222222"/>
        <rFont val="Noto Sans CJK SC"/>
        <family val="2"/>
      </rPr>
      <t xml:space="preserve">變更（</t>
    </r>
    <r>
      <rPr>
        <sz val="10"/>
        <color rgb="FF222222"/>
        <rFont val="Arial"/>
        <family val="0"/>
        <charset val="1"/>
      </rPr>
      <t xml:space="preserve">KB 452458</t>
    </r>
    <r>
      <rPr>
        <sz val="10"/>
        <color rgb="FF222222"/>
        <rFont val="Noto Sans CJK SC"/>
        <family val="2"/>
      </rPr>
      <t xml:space="preserve">）</t>
    </r>
  </si>
  <si>
    <t xml:space="preserve">esxi-standalone-upgrade/</t>
  </si>
  <si>
    <r>
      <rPr>
        <sz val="10"/>
        <color rgb="FF222222"/>
        <rFont val="Arial"/>
        <family val="0"/>
        <charset val="1"/>
      </rPr>
      <t xml:space="preserve">vLCM image </t>
    </r>
    <r>
      <rPr>
        <sz val="10"/>
        <color rgb="FF222222"/>
        <rFont val="Noto Sans CJK SC"/>
        <family val="2"/>
      </rPr>
      <t xml:space="preserve">升主機；</t>
    </r>
    <r>
      <rPr>
        <sz val="10"/>
        <color rgb="FF222222"/>
        <rFont val="Arial"/>
        <family val="0"/>
        <charset val="1"/>
      </rPr>
      <t xml:space="preserve">VCF </t>
    </r>
    <r>
      <rPr>
        <sz val="10"/>
        <color rgb="FF222222"/>
        <rFont val="Noto Sans CJK SC"/>
        <family val="2"/>
      </rPr>
      <t xml:space="preserve">納管規則（</t>
    </r>
    <r>
      <rPr>
        <sz val="10"/>
        <color rgb="FF222222"/>
        <rFont val="Arial"/>
        <family val="0"/>
        <charset val="1"/>
      </rPr>
      <t xml:space="preserve">build </t>
    </r>
    <r>
      <rPr>
        <sz val="10"/>
        <color rgb="FF222222"/>
        <rFont val="Noto Sans CJK SC"/>
        <family val="2"/>
      </rPr>
      <t xml:space="preserve">必須等於 </t>
    </r>
    <r>
      <rPr>
        <sz val="10"/>
        <color rgb="FF222222"/>
        <rFont val="Arial"/>
        <family val="0"/>
        <charset val="1"/>
      </rPr>
      <t xml:space="preserve">BOM</t>
    </r>
    <r>
      <rPr>
        <sz val="10"/>
        <color rgb="FF222222"/>
        <rFont val="Noto Sans CJK SC"/>
        <family val="2"/>
      </rPr>
      <t xml:space="preserve">）</t>
    </r>
  </si>
  <si>
    <t xml:space="preserve">vcf-skills</t>
  </si>
  <si>
    <r>
      <rPr>
        <sz val="10"/>
        <color rgb="FF222222"/>
        <rFont val="Arial"/>
        <family val="0"/>
        <charset val="1"/>
      </rPr>
      <t xml:space="preserve">vcf-9-ppt/runbooks/vcf9-host-maintenance-rotation.md</t>
    </r>
    <r>
      <rPr>
        <sz val="10"/>
        <color rgb="FF222222"/>
        <rFont val="Noto Sans CJK SC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vcf-upgrade-ppt/runbooks/upgrade-precheck-runbook.md</t>
    </r>
  </si>
  <si>
    <r>
      <rPr>
        <sz val="10"/>
        <color rgb="FF222222"/>
        <rFont val="Noto Sans CJK SC"/>
        <family val="2"/>
      </rPr>
      <t xml:space="preserve">主機維護輪替、升級 </t>
    </r>
    <r>
      <rPr>
        <sz val="10"/>
        <color rgb="FF222222"/>
        <rFont val="Arial"/>
        <family val="0"/>
        <charset val="1"/>
      </rPr>
      <t xml:space="preserve">precheck</t>
    </r>
  </si>
  <si>
    <r>
      <rPr>
        <sz val="10"/>
        <color rgb="FF222222"/>
        <rFont val="Noto Sans CJK SC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Git </t>
    </r>
    <r>
      <rPr>
        <sz val="10"/>
        <color rgb="FF222222"/>
        <rFont val="Noto Sans CJK SC"/>
        <family val="2"/>
      </rPr>
      <t xml:space="preserve">上沒有）</t>
    </r>
  </si>
  <si>
    <r>
      <rPr>
        <sz val="10"/>
        <color rgb="FF222222"/>
        <rFont val="Arial"/>
        <family val="0"/>
        <charset val="1"/>
      </rPr>
      <t xml:space="preserve">SRM / Live Recovery </t>
    </r>
    <r>
      <rPr>
        <sz val="10"/>
        <color rgb="FF222222"/>
        <rFont val="Noto Sans CJK SC"/>
        <family val="2"/>
      </rPr>
      <t xml:space="preserve">重新註冊無既有文件 → 依 </t>
    </r>
    <r>
      <rPr>
        <sz val="10"/>
        <color rgb="FF222222"/>
        <rFont val="Arial"/>
        <family val="0"/>
        <charset val="1"/>
      </rPr>
      <t xml:space="preserve">KB 446701 </t>
    </r>
    <r>
      <rPr>
        <sz val="10"/>
        <color rgb="FF222222"/>
        <rFont val="Noto Sans CJK SC"/>
        <family val="2"/>
      </rPr>
      <t xml:space="preserve">與 </t>
    </r>
    <r>
      <rPr>
        <sz val="10"/>
        <color rgb="FF222222"/>
        <rFont val="Arial"/>
        <family val="0"/>
        <charset val="1"/>
      </rPr>
      <t xml:space="preserve">TechDocs</t>
    </r>
  </si>
  <si>
    <r>
      <rPr>
        <sz val="10"/>
        <color rgb="FF222222"/>
        <rFont val="Arial"/>
        <family val="0"/>
        <charset val="1"/>
      </rPr>
      <t xml:space="preserve">vRO standalone </t>
    </r>
    <r>
      <rPr>
        <sz val="10"/>
        <color rgb="FF222222"/>
        <rFont val="Noto Sans CJK SC"/>
        <family val="2"/>
      </rPr>
      <t xml:space="preserve">升級無既有文件 → 依 </t>
    </r>
    <r>
      <rPr>
        <sz val="10"/>
        <color rgb="FF222222"/>
        <rFont val="Arial"/>
        <family val="0"/>
        <charset val="1"/>
      </rPr>
      <t xml:space="preserve">TechDocs</t>
    </r>
    <r>
      <rPr>
        <sz val="10"/>
        <color rgb="FF222222"/>
        <rFont val="Noto Sans CJK SC"/>
        <family val="2"/>
      </rPr>
      <t xml:space="preserve">《</t>
    </r>
    <r>
      <rPr>
        <sz val="10"/>
        <color rgb="FF222222"/>
        <rFont val="Arial"/>
        <family val="0"/>
        <charset val="1"/>
      </rPr>
      <t xml:space="preserve">Upgrade to VCF Operations Orchestrator 9.1</t>
    </r>
    <r>
      <rPr>
        <sz val="10"/>
        <color rgb="FF222222"/>
        <rFont val="Noto Sans CJK SC"/>
        <family val="2"/>
      </rPr>
      <t xml:space="preserve">》</t>
    </r>
  </si>
  <si>
    <t xml:space="preserve">全程</t>
  </si>
  <si>
    <r>
      <rPr>
        <sz val="10"/>
        <color rgb="FF222222"/>
        <rFont val="Arial"/>
        <family val="0"/>
        <charset val="1"/>
      </rPr>
      <t xml:space="preserve">README.md</t>
    </r>
    <r>
      <rPr>
        <sz val="10"/>
        <color rgb="FF222222"/>
        <rFont val="Noto Sans CJK SC"/>
        <family val="2"/>
      </rPr>
      <t xml:space="preserve">（症狀路由表）、</t>
    </r>
    <r>
      <rPr>
        <sz val="10"/>
        <color rgb="FF222222"/>
        <rFont val="Arial"/>
        <family val="0"/>
        <charset val="1"/>
      </rPr>
      <t xml:space="preserve">reference/commands.md</t>
    </r>
  </si>
  <si>
    <t xml:space="preserve">除錯索引與常用指令</t>
  </si>
  <si>
    <t xml:space="preserve">lab-info</t>
  </si>
  <si>
    <r>
      <rPr>
        <sz val="10"/>
        <color rgb="FF222222"/>
        <rFont val="Arial"/>
        <family val="0"/>
        <charset val="1"/>
      </rPr>
      <t xml:space="preserve">runbooks/backup-sftp.md</t>
    </r>
    <r>
      <rPr>
        <sz val="10"/>
        <color rgb="FF222222"/>
        <rFont val="Noto Sans CJK SC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runbooks/depot-server.md</t>
    </r>
  </si>
  <si>
    <r>
      <rPr>
        <sz val="10"/>
        <color rgb="FF222222"/>
        <rFont val="Arial"/>
        <family val="0"/>
        <charset val="1"/>
      </rPr>
      <t xml:space="preserve">SFTP </t>
    </r>
    <r>
      <rPr>
        <sz val="10"/>
        <color rgb="FF222222"/>
        <rFont val="Noto Sans CJK SC"/>
        <family val="2"/>
      </rPr>
      <t xml:space="preserve">備份、</t>
    </r>
    <r>
      <rPr>
        <sz val="10"/>
        <color rgb="FF222222"/>
        <rFont val="Arial"/>
        <family val="0"/>
        <charset val="1"/>
      </rPr>
      <t xml:space="preserve">depot server </t>
    </r>
    <r>
      <rPr>
        <sz val="10"/>
        <color rgb="FF222222"/>
        <rFont val="Noto Sans CJK SC"/>
        <family val="2"/>
      </rPr>
      <t xml:space="preserve">紀錄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</si>
</sst>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1D36"/>
      <name val="Noto Sans CJK SC"/>
      <family val="2"/>
    </font>
    <font>
      <b val="true"/>
      <sz val="14"/>
      <color rgb="FF1B1D36"/>
      <name val="Arial"/>
      <family val="0"/>
      <charset val="1"/>
    </font>
    <font>
      <sz val="9"/>
      <color rgb="FF717074"/>
      <name val="Noto Sans CJK SC"/>
      <family val="2"/>
    </font>
    <font>
      <sz val="9"/>
      <color rgb="FF717074"/>
      <name val="Arial"/>
      <family val="0"/>
      <charset val="1"/>
    </font>
    <font>
      <b val="true"/>
      <sz val="10"/>
      <color rgb="FF1B1D36"/>
      <name val="Noto Sans CJK SC"/>
      <family val="2"/>
    </font>
    <font>
      <sz val="10"/>
      <color rgb="FF222222"/>
      <name val="Arial"/>
      <family val="0"/>
      <charset val="1"/>
    </font>
    <font>
      <sz val="10"/>
      <color rgb="FF222222"/>
      <name val="Noto Sans CJK SC"/>
      <family val="2"/>
    </font>
    <font>
      <b val="true"/>
      <sz val="12"/>
      <color rgb="FF1B1D36"/>
      <name val="Arial"/>
      <family val="0"/>
      <charset val="1"/>
    </font>
    <font>
      <b val="true"/>
      <sz val="12"/>
      <color rgb="FF1B1D36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1B1D36"/>
      <name val="Arial"/>
      <family val="0"/>
      <charset val="1"/>
    </font>
    <font>
      <b val="true"/>
      <sz val="10"/>
      <color rgb="FFA6192E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10.5"/>
      <color rgb="FFFFFFFF"/>
      <name val="Arial"/>
      <family val="0"/>
      <charset val="1"/>
    </font>
    <font>
      <b val="true"/>
      <sz val="10.5"/>
      <color rgb="FFFFFFFF"/>
      <name val="Noto Sans CJK SC"/>
      <family val="2"/>
    </font>
    <font>
      <b val="true"/>
      <sz val="10"/>
      <color rgb="FF005C8A"/>
      <name val="Noto Sans CJK SC"/>
      <family val="2"/>
    </font>
    <font>
      <sz val="9.5"/>
      <color rgb="FF222222"/>
      <name val="Arial"/>
      <family val="0"/>
      <charset val="1"/>
    </font>
    <font>
      <sz val="9.5"/>
      <color rgb="FF222222"/>
      <name val="Noto Sans CJK SC"/>
      <family val="2"/>
    </font>
    <font>
      <b val="true"/>
      <sz val="10"/>
      <color rgb="FF007B8C"/>
      <name val="Noto Sans CJK SC"/>
      <family val="2"/>
    </font>
    <font>
      <b val="true"/>
      <sz val="10"/>
      <color rgb="FF4E8A0B"/>
      <name val="Noto Sans CJK SC"/>
      <family val="2"/>
    </font>
    <font>
      <b val="true"/>
      <sz val="10"/>
      <color rgb="FF717074"/>
      <name val="Noto Sans CJK SC"/>
      <family val="2"/>
    </font>
    <font>
      <b val="true"/>
      <sz val="10"/>
      <color rgb="FF717074"/>
      <name val="Arial"/>
      <family val="0"/>
      <charset val="1"/>
    </font>
    <font>
      <b val="true"/>
      <sz val="10"/>
      <color rgb="FFA6192E"/>
      <name val="Noto Sans CJK SC"/>
      <family val="2"/>
    </font>
    <font>
      <b val="true"/>
      <sz val="10"/>
      <color rgb="FFB45F06"/>
      <name val="Noto Sans CJK SC"/>
      <family val="2"/>
    </font>
    <font>
      <b val="true"/>
      <sz val="10"/>
      <color rgb="FF2E6B0E"/>
      <name val="Noto Sans CJK SC"/>
      <family val="2"/>
    </font>
    <font>
      <u val="single"/>
      <sz val="9"/>
      <color rgb="FF0563C1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1D36"/>
        <bgColor rgb="FF222222"/>
      </patternFill>
    </fill>
    <fill>
      <patternFill patternType="solid">
        <fgColor rgb="FF1D428A"/>
        <bgColor rgb="FF005C8A"/>
      </patternFill>
    </fill>
    <fill>
      <patternFill patternType="solid">
        <fgColor rgb="FFFFF2CC"/>
        <bgColor rgb="FFE7E6E6"/>
      </patternFill>
    </fill>
    <fill>
      <patternFill patternType="solid">
        <fgColor rgb="FF6C4B94"/>
        <bgColor rgb="FF717074"/>
      </patternFill>
    </fill>
    <fill>
      <patternFill patternType="solid">
        <fgColor rgb="FF007B8C"/>
        <bgColor rgb="FF005C8A"/>
      </patternFill>
    </fill>
    <fill>
      <patternFill patternType="solid">
        <fgColor rgb="FF0098C7"/>
        <bgColor rgb="FF007B8C"/>
      </patternFill>
    </fill>
    <fill>
      <patternFill patternType="solid">
        <fgColor rgb="FF316E60"/>
        <bgColor rgb="FF2E6B0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4D9"/>
      </left>
      <right style="thin">
        <color rgb="FFD0D4D9"/>
      </right>
      <top style="thin">
        <color rgb="FFD0D4D9"/>
      </top>
      <bottom style="thin">
        <color rgb="FFD0D4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007B8C"/>
          <bgColor rgb="FF000000"/>
        </patternFill>
      </fill>
    </dxf>
    <dxf>
      <fill>
        <patternFill patternType="solid">
          <fgColor rgb="FF0098C7"/>
          <bgColor rgb="FF000000"/>
        </patternFill>
      </fill>
    </dxf>
    <dxf>
      <fill>
        <patternFill patternType="solid">
          <fgColor rgb="FF1B1D36"/>
          <bgColor rgb="FF000000"/>
        </patternFill>
      </fill>
    </dxf>
    <dxf>
      <fill>
        <patternFill patternType="solid">
          <fgColor rgb="FF1D428A"/>
          <bgColor rgb="FF000000"/>
        </patternFill>
      </fill>
    </dxf>
    <dxf>
      <fill>
        <patternFill patternType="solid">
          <fgColor rgb="FF316E60"/>
          <bgColor rgb="FF000000"/>
        </patternFill>
      </fill>
    </dxf>
    <dxf>
      <fill>
        <patternFill patternType="solid">
          <fgColor rgb="FF6C4B9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5C8A"/>
          <bgColor rgb="FF000000"/>
        </patternFill>
      </fill>
    </dxf>
    <dxf>
      <fill>
        <patternFill patternType="solid">
          <fgColor rgb="FF4E8A0B"/>
          <bgColor rgb="FF000000"/>
        </patternFill>
      </fill>
    </dxf>
    <dxf>
      <fill>
        <patternFill patternType="solid">
          <fgColor rgb="FF717074"/>
          <bgColor rgb="FF000000"/>
        </patternFill>
      </fill>
    </dxf>
    <dxf>
      <fill>
        <patternFill patternType="solid">
          <fgColor rgb="FFA6192E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2E6B0E"/>
      </font>
      <fill>
        <patternFill>
          <bgColor rgb="FFD9EAD3"/>
        </patternFill>
      </fill>
    </dxf>
    <dxf>
      <font>
        <name val="Arial"/>
        <charset val="1"/>
        <family val="0"/>
        <b val="1"/>
        <color rgb="FFA6192E"/>
      </font>
      <fill>
        <patternFill>
          <bgColor rgb="FFF4CCCC"/>
        </patternFill>
      </fill>
    </dxf>
    <dxf>
      <fill>
        <patternFill>
          <bgColor rgb="FFFFE599"/>
        </patternFill>
      </fill>
    </dxf>
    <dxf>
      <font>
        <name val="Arial"/>
        <charset val="1"/>
        <family val="0"/>
        <color rgb="FF717074"/>
      </font>
      <fill>
        <patternFill>
          <bgColor rgb="FFE7E6E6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6B0E"/>
      <rgbColor rgb="FF000080"/>
      <rgbColor rgb="FF7F6000"/>
      <rgbColor rgb="FF800080"/>
      <rgbColor rgb="FF007B8C"/>
      <rgbColor rgb="FFC0C0C0"/>
      <rgbColor rgb="FF717074"/>
      <rgbColor rgb="FF9999FF"/>
      <rgbColor rgb="FF993366"/>
      <rgbColor rgb="FFFFF2CC"/>
      <rgbColor rgb="FFE7E6E6"/>
      <rgbColor rgb="FF660066"/>
      <rgbColor rgb="FFFF8080"/>
      <rgbColor rgb="FF0563C1"/>
      <rgbColor rgb="FFD0D4D9"/>
      <rgbColor rgb="FF000080"/>
      <rgbColor rgb="FFFF00FF"/>
      <rgbColor rgb="FFFFFF00"/>
      <rgbColor rgb="FF00FFFF"/>
      <rgbColor rgb="FF800080"/>
      <rgbColor rgb="FF800000"/>
      <rgbColor rgb="FF005C8A"/>
      <rgbColor rgb="FF0000FF"/>
      <rgbColor rgb="FF0098C7"/>
      <rgbColor rgb="FFCCFFFF"/>
      <rgbColor rgb="FFD9EAD3"/>
      <rgbColor rgb="FFFFE5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B45F06"/>
      <rgbColor rgb="FF6C4B94"/>
      <rgbColor rgb="FF4E8A0B"/>
      <rgbColor rgb="FF1B1D36"/>
      <rgbColor rgb="FF316E60"/>
      <rgbColor rgb="FF003300"/>
      <rgbColor rgb="FF333300"/>
      <rgbColor rgb="FFA6192E"/>
      <rgbColor rgb="FF993366"/>
      <rgbColor rgb="FF1D428A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techdocs.broadcom.com/us/en/vmware-cis/vcf/vcf-9-0-and-later/9-1/deployment/converging-your-existing-vsphere-infrastructure-to-a-vcf-or-vvf-platform-/supported-and-not-supported-configurations.html" TargetMode="External"/><Relationship Id="rId2" Type="http://schemas.openxmlformats.org/officeDocument/2006/relationships/hyperlink" Target="https://techdocs.broadcom.com/us/en/vmware-cis/vcf/vcf-9-0-and-later/9-1/deployment/converging-your-existing-vsphere-infrastructure-to-a-vcf-or-vvf-platform-/use-existing-vsphere-infrastructure-to-create-a-new-vcf-fleet-or-a-new-vcf-instance-using-the-dep" TargetMode="External"/><Relationship Id="rId3" Type="http://schemas.openxmlformats.org/officeDocument/2006/relationships/hyperlink" Target="https://techdocs.broadcom.com/us/en/vmware-cis/vcf/vcf-9-0-and-later/9-1/deployment/converging-your-existing-vsphere-infrastructure-to-a-vcf-or-vvf-platform-/supported-scenarios-to-converge-to-vcf/converge-your-existing-vcenter-instance-esx-hosts-vrealize" TargetMode="External"/><Relationship Id="rId4" Type="http://schemas.openxmlformats.org/officeDocument/2006/relationships/hyperlink" Target="https://techdocs.broadcom.com/us/en/vmware-cis/vcf/vcf-9-0-and-later/9-1/deployment/deploying-a-new-vmware-cloud-foundation-or-vmware-vsphere-foundation-private-cloud-/preparing-your-environment/downloading-binaries-to-the-vcf-installer-appliance.html" TargetMode="External"/><Relationship Id="rId5" Type="http://schemas.openxmlformats.org/officeDocument/2006/relationships/hyperlink" Target="https://techdocs.broadcom.com/us/en/vmware-cis/vcf/vcf-9-0-and-later/9-1/deployment/deploying-a-new-vmware-cloud-foundation-or-vmware-vsphere-foundation-private-cloud-/preparing-your-environment/downloading-binaries-to-the-vcf-installer-appliance/connect-" TargetMode="External"/><Relationship Id="rId6" Type="http://schemas.openxmlformats.org/officeDocument/2006/relationships/hyperlink" Target="https://techdocs.broadcom.com/us/en/vmware-cis/vcf/vcf-9-0-and-later/9-1/lifecycle-management/binary-management-for-vmware-cloud-foundation/connect-sddc-manager-to-a-software-depot-for-downloading-bundles.html" TargetMode="External"/><Relationship Id="rId7" Type="http://schemas.openxmlformats.org/officeDocument/2006/relationships/hyperlink" Target="https://techdocs.broadcom.com/us/en/vmware-cis/vcf/vcf-9-0-and-later/9-1/deployment/upgrading-cloud-foundation/phase-3-import-and-upgrade-aria-automation-8-to-vcf-automation-9/import-an-existing-vmware-aria-automation-instance-in-vcf-operations.html" TargetMode="External"/><Relationship Id="rId8" Type="http://schemas.openxmlformats.org/officeDocument/2006/relationships/hyperlink" Target="https://techdocs.broadcom.com/us/en/vmware-cis/vcf/vcf-9-0-and-later/9-1/deployment/upgrading-cloud-foundation/phase-3-import-and-upgrade-aria-automation-8-to-vcf-automation-9.html" TargetMode="External"/><Relationship Id="rId9" Type="http://schemas.openxmlformats.org/officeDocument/2006/relationships/hyperlink" Target="https://techdocs.broadcom.com/us/en/vmware-cis/vcf/vcf-9-0-and-later/9-1/deployment/upgrading-cloud-foundation/phase-3-import-and-upgrade-aria-automation-8-to-vcf-automation-9/upgrade-to-vcf-automation.html" TargetMode="External"/><Relationship Id="rId10" Type="http://schemas.openxmlformats.org/officeDocument/2006/relationships/hyperlink" Target="https://techdocs.broadcom.com/us/en/vmware-cis/vcf/vcf-9-0-and-later/9-1/deployment/upgrading-cloud-foundation/phase-3-import-and-upgrade-aria-automation-8-to-vcf-automation-9/migrate-vcf-automation-single-sign-on-configuration-from-vmware-identity-manage" TargetMode="External"/><Relationship Id="rId11" Type="http://schemas.openxmlformats.org/officeDocument/2006/relationships/hyperlink" Target="https://techdocs.broadcom.com/us/en/vmware-cis/vcf/vcf-9-0-and-later/9-1/deployment/upgrading-cloud-foundation/upgrade-a-standalone-or-clustered-vrealize-orchestrator-8-0-1-deployment-with-iso-image.html" TargetMode="External"/><Relationship Id="rId12" Type="http://schemas.openxmlformats.org/officeDocument/2006/relationships/hyperlink" Target="https://techdocs.broadcom.com/us/en/vmware-cis/vcf/vcf-9-0-and-later/9-1/deployment/deploying-a-new-vmware-cloud-foundation-or-vmware-vsphere-foundation-private-cloud-/manual-deployment-of-components-to-complete-your-vcf-platform/download-and-deploy-the-v" TargetMode="External"/><Relationship Id="rId13" Type="http://schemas.openxmlformats.org/officeDocument/2006/relationships/hyperlink" Target="https://techdocs.broadcom.com/us/en/vmware-cis/vcf/vcf-9-0-and-later/9-1/deployment/upgrading-cloud-foundation.html" TargetMode="External"/><Relationship Id="rId14" Type="http://schemas.openxmlformats.org/officeDocument/2006/relationships/hyperlink" Target="https://techdocs.broadcom.com/us/en/vmware-cis/vcf/vcf-9-0-and-later/9-1/building-your-private-cloud-infrastructure/working-with-workload-domains/import-an-existing-vcenter-to-create-a-workload-domain.html" TargetMode="External"/><Relationship Id="rId15" Type="http://schemas.openxmlformats.org/officeDocument/2006/relationships/hyperlink" Target="https://techdocs.broadcom.com/us/en/vmware-cis/vcf/vcf-9-0-and-later/9-1/lifecycle-management/upgrade-workload-domains-to-vcf-5-2.html" TargetMode="External"/><Relationship Id="rId16" Type="http://schemas.openxmlformats.org/officeDocument/2006/relationships/hyperlink" Target="https://techdocs.broadcom.com/us/en/vmware-cis/vsphere/vsphere/9-1/vcenter-and-host-management/migrating-virtual-machines/vmotion-across-vcenter-server-systems/migrate-a-virtual-machine-from-an-external-vcenter-server-instance.html" TargetMode="External"/><Relationship Id="rId17" Type="http://schemas.openxmlformats.org/officeDocument/2006/relationships/hyperlink" Target="https://techdocs.broadcom.com/us/en/vmware-cis/vcf/protection-and-recovery/9-1/release-notes/protection-and-recovery-9110-release-notes.html" TargetMode="External"/><Relationship Id="rId18" Type="http://schemas.openxmlformats.org/officeDocument/2006/relationships/hyperlink" Target="https://techdocs.broadcom.com/us/en/vmware-cis/vcf/protection-and-recovery/9-1/protection-and-recovery-installation/setting-up-vmware-live-site-recovery-overview/convergence-and-upgrade/upgrading-srm/order-of-upgrading-vsphere-and-srm-components.html" TargetMode="External"/><Relationship Id="rId19" Type="http://schemas.openxmlformats.org/officeDocument/2006/relationships/hyperlink" Target="https://techdocs.broadcom.com/us/en/vmware-cis/vcf/protection-and-recovery/9-1/protection-and-recovery-installation/setting-up-vmware-live-site-recovery-overview/reconfiguring-the-site-recovery-manager-virtual-appliance/reconfigure-the-connection-between-" TargetMode="External"/><Relationship Id="rId20" Type="http://schemas.openxmlformats.org/officeDocument/2006/relationships/hyperlink" Target="https://techdocs.broadcom.com/us/en/vmware-cis/vcf/vcf-9-0-and-later/9-1/release-notes/vmware-cloud-foundation-9-1-1-0-release-notes.html" TargetMode="External"/><Relationship Id="rId21" Type="http://schemas.openxmlformats.org/officeDocument/2006/relationships/hyperlink" Target="https://techdocs.broadcom.com/us/en/vmware-cis/vcf/vcf-9-0-and-later/9-1/release-notes/vmware-cloud-foundation-9-1-1-0-release-notes/vmware-cloud-foundation-9-1-1-0-bill-of-material.html" TargetMode="External"/><Relationship Id="rId22" Type="http://schemas.openxmlformats.org/officeDocument/2006/relationships/hyperlink" Target="https://interopmatrix.broadcom.com/Interoperability" TargetMode="External"/><Relationship Id="rId23" Type="http://schemas.openxmlformats.org/officeDocument/2006/relationships/hyperlink" Target="https://knowledge.broadcom.com/external/article/440630" TargetMode="External"/><Relationship Id="rId24" Type="http://schemas.openxmlformats.org/officeDocument/2006/relationships/hyperlink" Target="https://knowledge.broadcom.com/external/article/450972" TargetMode="External"/><Relationship Id="rId25" Type="http://schemas.openxmlformats.org/officeDocument/2006/relationships/hyperlink" Target="https://knowledge.broadcom.com/external/article/448258" TargetMode="External"/><Relationship Id="rId26" Type="http://schemas.openxmlformats.org/officeDocument/2006/relationships/hyperlink" Target="https://knowledge.broadcom.com/external/article/453612" TargetMode="External"/><Relationship Id="rId27" Type="http://schemas.openxmlformats.org/officeDocument/2006/relationships/hyperlink" Target="https://knowledge.broadcom.com/external/article/425102" TargetMode="External"/><Relationship Id="rId28" Type="http://schemas.openxmlformats.org/officeDocument/2006/relationships/hyperlink" Target="https://knowledge.broadcom.com/external/article/436924" TargetMode="External"/><Relationship Id="rId29" Type="http://schemas.openxmlformats.org/officeDocument/2006/relationships/hyperlink" Target="https://knowledge.broadcom.com/external/article/430524" TargetMode="External"/><Relationship Id="rId30" Type="http://schemas.openxmlformats.org/officeDocument/2006/relationships/hyperlink" Target="https://knowledge.broadcom.com/external/article/429205" TargetMode="External"/><Relationship Id="rId31" Type="http://schemas.openxmlformats.org/officeDocument/2006/relationships/hyperlink" Target="https://knowledge.broadcom.com/external/article/425169" TargetMode="External"/><Relationship Id="rId32" Type="http://schemas.openxmlformats.org/officeDocument/2006/relationships/hyperlink" Target="https://knowledge.broadcom.com/external/article/425489" TargetMode="External"/><Relationship Id="rId33" Type="http://schemas.openxmlformats.org/officeDocument/2006/relationships/hyperlink" Target="https://knowledge.broadcom.com/external/article/389563" TargetMode="External"/><Relationship Id="rId34" Type="http://schemas.openxmlformats.org/officeDocument/2006/relationships/hyperlink" Target="https://knowledge.broadcom.com/external/article/447667" TargetMode="External"/><Relationship Id="rId35" Type="http://schemas.openxmlformats.org/officeDocument/2006/relationships/hyperlink" Target="https://knowledge.broadcom.com/external/article/450345" TargetMode="External"/><Relationship Id="rId36" Type="http://schemas.openxmlformats.org/officeDocument/2006/relationships/hyperlink" Target="https://knowledge.broadcom.com/external/article/441333" TargetMode="External"/><Relationship Id="rId37" Type="http://schemas.openxmlformats.org/officeDocument/2006/relationships/hyperlink" Target="https://knowledge.broadcom.com/external/article/318582" TargetMode="External"/><Relationship Id="rId38" Type="http://schemas.openxmlformats.org/officeDocument/2006/relationships/hyperlink" Target="https://knowledge.broadcom.com/external/article/447218" TargetMode="External"/><Relationship Id="rId39" Type="http://schemas.openxmlformats.org/officeDocument/2006/relationships/hyperlink" Target="https://knowledge.broadcom.com/external/article/446701" TargetMode="External"/><Relationship Id="rId40" Type="http://schemas.openxmlformats.org/officeDocument/2006/relationships/hyperlink" Target="https://knowledge.broadcom.com/external/article/448322" TargetMode="External"/><Relationship Id="rId41" Type="http://schemas.openxmlformats.org/officeDocument/2006/relationships/hyperlink" Target="https://knowledge.broadcom.com/external/article/367383" TargetMode="External"/><Relationship Id="rId42" Type="http://schemas.openxmlformats.org/officeDocument/2006/relationships/hyperlink" Target="https://knowledge.broadcom.com/external/article/396777" TargetMode="External"/><Relationship Id="rId43" Type="http://schemas.openxmlformats.org/officeDocument/2006/relationships/hyperlink" Target="https://knowledge.broadcom.com/external/article/316592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github.com/kostenyang/vra-lifecycle" TargetMode="External"/><Relationship Id="rId2" Type="http://schemas.openxmlformats.org/officeDocument/2006/relationships/hyperlink" Target="https://github.com/kostenyang/vra-lifecycle" TargetMode="External"/><Relationship Id="rId3" Type="http://schemas.openxmlformats.org/officeDocument/2006/relationships/hyperlink" Target="https://github.com/kostenyang/vra-lifecycle" TargetMode="External"/><Relationship Id="rId4" Type="http://schemas.openxmlformats.org/officeDocument/2006/relationships/hyperlink" Target="https://github.com/kostenyang/vcf9.1-lab-private" TargetMode="External"/><Relationship Id="rId5" Type="http://schemas.openxmlformats.org/officeDocument/2006/relationships/hyperlink" Target="https://github.com/kostenyang/vcf9offlinescript" TargetMode="External"/><Relationship Id="rId6" Type="http://schemas.openxmlformats.org/officeDocument/2006/relationships/hyperlink" Target="https://github.com/kostenyang/vcf9offlinescript" TargetMode="External"/><Relationship Id="rId7" Type="http://schemas.openxmlformats.org/officeDocument/2006/relationships/hyperlink" Target="https://github.com/kostenyang/vcf-download-tool" TargetMode="External"/><Relationship Id="rId8" Type="http://schemas.openxmlformats.org/officeDocument/2006/relationships/hyperlink" Target="https://github.com/kostenyang/vcf9.1-lab-private" TargetMode="External"/><Relationship Id="rId9" Type="http://schemas.openxmlformats.org/officeDocument/2006/relationships/hyperlink" Target="https://github.com/kostenyang/v8tov9" TargetMode="External"/><Relationship Id="rId10" Type="http://schemas.openxmlformats.org/officeDocument/2006/relationships/hyperlink" Target="https://github.com/kostenyang/v8tov9" TargetMode="External"/><Relationship Id="rId11" Type="http://schemas.openxmlformats.org/officeDocument/2006/relationships/hyperlink" Target="https://github.com/kostenyang/v8tov9" TargetMode="External"/><Relationship Id="rId12" Type="http://schemas.openxmlformats.org/officeDocument/2006/relationships/hyperlink" Target="https://github.com/kostenyang/debug-vcf9.1" TargetMode="External"/><Relationship Id="rId13" Type="http://schemas.openxmlformats.org/officeDocument/2006/relationships/hyperlink" Target="https://github.com/kostenyang/vra-lifecycle" TargetMode="External"/><Relationship Id="rId14" Type="http://schemas.openxmlformats.org/officeDocument/2006/relationships/hyperlink" Target="https://github.com/kostenyang/debug-vcf9.1" TargetMode="External"/><Relationship Id="rId15" Type="http://schemas.openxmlformats.org/officeDocument/2006/relationships/hyperlink" Target="https://github.com/kostenyang/vra-lifecycle" TargetMode="External"/><Relationship Id="rId16" Type="http://schemas.openxmlformats.org/officeDocument/2006/relationships/hyperlink" Target="https://github.com/kostenyang/vra-lifecycle" TargetMode="External"/><Relationship Id="rId17" Type="http://schemas.openxmlformats.org/officeDocument/2006/relationships/hyperlink" Target="https://github.com/kostenyang/debug-vcf9.1" TargetMode="External"/><Relationship Id="rId18" Type="http://schemas.openxmlformats.org/officeDocument/2006/relationships/hyperlink" Target="https://github.com/kostenyang/v8tov9" TargetMode="External"/><Relationship Id="rId19" Type="http://schemas.openxmlformats.org/officeDocument/2006/relationships/hyperlink" Target="https://github.com/kostenyang/v8tov9" TargetMode="External"/><Relationship Id="rId20" Type="http://schemas.openxmlformats.org/officeDocument/2006/relationships/hyperlink" Target="https://github.com/kostenyang/v8tov9" TargetMode="External"/><Relationship Id="rId21" Type="http://schemas.openxmlformats.org/officeDocument/2006/relationships/hyperlink" Target="https://github.com/kostenyang/debug-vcf9.1" TargetMode="External"/><Relationship Id="rId22" Type="http://schemas.openxmlformats.org/officeDocument/2006/relationships/hyperlink" Target="https://github.com/kostenyang/v8tov9" TargetMode="External"/><Relationship Id="rId23" Type="http://schemas.openxmlformats.org/officeDocument/2006/relationships/hyperlink" Target="https://github.com/kostenyang/vcf-skills" TargetMode="External"/><Relationship Id="rId24" Type="http://schemas.openxmlformats.org/officeDocument/2006/relationships/hyperlink" Target="https://github.com/kostenyang/debug-vcf9.1" TargetMode="External"/><Relationship Id="rId25" Type="http://schemas.openxmlformats.org/officeDocument/2006/relationships/hyperlink" Target="https://github.com/kostenyang/lab-info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4" t="s">
        <v>3</v>
      </c>
    </row>
    <row r="5" customFormat="false" ht="31.5" hidden="false" customHeight="true" outlineLevel="0" collapsed="false">
      <c r="A5" s="3" t="s">
        <v>4</v>
      </c>
      <c r="B5" s="4" t="s">
        <v>5</v>
      </c>
    </row>
    <row r="6" customFormat="false" ht="18" hidden="false" customHeight="true" outlineLevel="0" collapsed="false">
      <c r="A6" s="3" t="s">
        <v>6</v>
      </c>
      <c r="B6" s="4" t="s">
        <v>7</v>
      </c>
    </row>
    <row r="7" customFormat="false" ht="31.5" hidden="false" customHeight="true" outlineLevel="0" collapsed="false">
      <c r="A7" s="3" t="s">
        <v>8</v>
      </c>
      <c r="B7" s="5" t="s">
        <v>9</v>
      </c>
    </row>
    <row r="8" customFormat="false" ht="31.5" hidden="false" customHeight="true" outlineLevel="0" collapsed="false">
      <c r="A8" s="3" t="s">
        <v>10</v>
      </c>
      <c r="B8" s="5" t="s">
        <v>11</v>
      </c>
    </row>
    <row r="9" customFormat="false" ht="18" hidden="false" customHeight="true" outlineLevel="0" collapsed="false">
      <c r="A9" s="3" t="s">
        <v>12</v>
      </c>
      <c r="B9" s="5" t="s">
        <v>13</v>
      </c>
    </row>
    <row r="10" customFormat="false" ht="18" hidden="false" customHeight="true" outlineLevel="0" collapsed="false">
      <c r="A10" s="3" t="s">
        <v>14</v>
      </c>
      <c r="B10" s="5" t="s">
        <v>15</v>
      </c>
    </row>
    <row r="11" customFormat="false" ht="31.5" hidden="false" customHeight="true" outlineLevel="0" collapsed="false">
      <c r="A11" s="3" t="s">
        <v>16</v>
      </c>
      <c r="B11" s="4" t="s">
        <v>17</v>
      </c>
    </row>
    <row r="12" customFormat="false" ht="18" hidden="false" customHeight="true" outlineLevel="0" collapsed="false">
      <c r="A12" s="3" t="s">
        <v>18</v>
      </c>
      <c r="B12" s="5" t="s">
        <v>19</v>
      </c>
    </row>
    <row r="13" customFormat="false" ht="31.5" hidden="false" customHeight="true" outlineLevel="0" collapsed="false">
      <c r="A13" s="3" t="s">
        <v>20</v>
      </c>
      <c r="B13" s="4" t="s">
        <v>21</v>
      </c>
    </row>
    <row r="15" customFormat="false" ht="19.4" hidden="false" customHeight="false" outlineLevel="0" collapsed="false">
      <c r="A15" s="6" t="s">
        <v>22</v>
      </c>
    </row>
    <row r="16" customFormat="false" ht="21.75" hidden="false" customHeight="true" outlineLevel="0" collapsed="false">
      <c r="A16" s="7" t="s">
        <v>23</v>
      </c>
      <c r="B16" s="8" t="s">
        <v>24</v>
      </c>
    </row>
    <row r="17" customFormat="false" ht="15" hidden="false" customHeight="false" outlineLevel="0" collapsed="false">
      <c r="A17" s="9" t="s">
        <v>25</v>
      </c>
      <c r="B17" s="10" t="s">
        <v>26</v>
      </c>
    </row>
    <row r="18" customFormat="false" ht="15" hidden="false" customHeight="false" outlineLevel="0" collapsed="false">
      <c r="A18" s="11" t="s">
        <v>27</v>
      </c>
      <c r="B18" s="10" t="s">
        <v>28</v>
      </c>
    </row>
    <row r="19" customFormat="false" ht="15" hidden="false" customHeight="false" outlineLevel="0" collapsed="false">
      <c r="A19" s="9" t="s">
        <v>29</v>
      </c>
      <c r="B19" s="10" t="s">
        <v>30</v>
      </c>
    </row>
    <row r="20" customFormat="false" ht="15" hidden="false" customHeight="false" outlineLevel="0" collapsed="false">
      <c r="A20" s="11" t="s">
        <v>31</v>
      </c>
      <c r="B20" s="10" t="s">
        <v>32</v>
      </c>
    </row>
    <row r="21" customFormat="false" ht="15" hidden="false" customHeight="false" outlineLevel="0" collapsed="false">
      <c r="A21" s="11" t="s">
        <v>33</v>
      </c>
      <c r="B21" s="10" t="s">
        <v>34</v>
      </c>
    </row>
    <row r="22" customFormat="false" ht="15" hidden="false" customHeight="false" outlineLevel="0" collapsed="false">
      <c r="A22" s="11" t="s">
        <v>35</v>
      </c>
      <c r="B22" s="10" t="s">
        <v>36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8" min="6" style="0" width="8"/>
    <col collapsed="false" customWidth="true" hidden="false" outlineLevel="0" max="9" min="9" style="0" width="9"/>
    <col collapsed="false" customWidth="true" hidden="false" outlineLevel="0" max="10" min="10" style="0" width="10"/>
  </cols>
  <sheetData>
    <row r="1" customFormat="false" ht="21.6" hidden="false" customHeight="false" outlineLevel="0" collapsed="false">
      <c r="A1" s="1" t="s">
        <v>37</v>
      </c>
    </row>
    <row r="3" customFormat="false" ht="21.75" hidden="false" customHeight="true" outlineLevel="0" collapsed="false">
      <c r="A3" s="7" t="s">
        <v>38</v>
      </c>
      <c r="B3" s="8" t="s">
        <v>39</v>
      </c>
      <c r="C3" s="8" t="s">
        <v>40</v>
      </c>
      <c r="D3" s="7" t="s">
        <v>23</v>
      </c>
      <c r="E3" s="8" t="s">
        <v>41</v>
      </c>
      <c r="F3" s="8" t="s">
        <v>42</v>
      </c>
      <c r="G3" s="7" t="s">
        <v>43</v>
      </c>
      <c r="H3" s="8" t="s">
        <v>44</v>
      </c>
      <c r="I3" s="8" t="s">
        <v>45</v>
      </c>
      <c r="J3" s="8" t="s">
        <v>46</v>
      </c>
    </row>
    <row r="4" customFormat="false" ht="15" hidden="false" customHeight="false" outlineLevel="0" collapsed="false">
      <c r="A4" s="12" t="s">
        <v>47</v>
      </c>
      <c r="B4" s="13" t="s">
        <v>48</v>
      </c>
      <c r="C4" s="13" t="s">
        <v>49</v>
      </c>
      <c r="D4" s="14" t="s">
        <v>25</v>
      </c>
      <c r="E4" s="12" t="n">
        <f aca="false">COUNTIFS(Checklist!$A$4:$A$201,$A4,Checklist!$D$4:$D$201,"&lt;&gt;步驟")</f>
        <v>15</v>
      </c>
      <c r="F4" s="12" t="n">
        <f aca="false">COUNTIFS(Checklist!$A$4:$A$201,$A4,Checklist!$K$4:$K$201,"完成")</f>
        <v>0</v>
      </c>
      <c r="G4" s="12" t="n">
        <f aca="false">COUNTIFS(Checklist!$A$4:$A$201,$A4,Checklist!$K$4:$K$201,"N/A")</f>
        <v>0</v>
      </c>
      <c r="H4" s="12" t="n">
        <f aca="false">COUNTIFS(Checklist!$A$4:$A$201,$A4,Checklist!$K$4:$K$201,"失敗")</f>
        <v>0</v>
      </c>
      <c r="I4" s="12" t="n">
        <f aca="false">COUNTIFS(Checklist!$A$4:$A$201,$A4,Checklist!$K$4:$K$201,"進行中")</f>
        <v>0</v>
      </c>
      <c r="J4" s="15" t="n">
        <f aca="false">IF(E4=0,0,(F4+G4)/E4)</f>
        <v>0</v>
      </c>
    </row>
    <row r="5" customFormat="false" ht="15" hidden="false" customHeight="false" outlineLevel="0" collapsed="false">
      <c r="A5" s="12" t="s">
        <v>50</v>
      </c>
      <c r="B5" s="12" t="s">
        <v>51</v>
      </c>
      <c r="C5" s="13" t="s">
        <v>52</v>
      </c>
      <c r="D5" s="12"/>
      <c r="E5" s="12" t="n">
        <f aca="false">COUNTIFS(Checklist!$A$4:$A$201,$A5,Checklist!$D$4:$D$201,"&lt;&gt;步驟")</f>
        <v>15</v>
      </c>
      <c r="F5" s="12" t="n">
        <f aca="false">COUNTIFS(Checklist!$A$4:$A$201,$A5,Checklist!$K$4:$K$201,"完成")</f>
        <v>0</v>
      </c>
      <c r="G5" s="12" t="n">
        <f aca="false">COUNTIFS(Checklist!$A$4:$A$201,$A5,Checklist!$K$4:$K$201,"N/A")</f>
        <v>0</v>
      </c>
      <c r="H5" s="12" t="n">
        <f aca="false">COUNTIFS(Checklist!$A$4:$A$201,$A5,Checklist!$K$4:$K$201,"失敗")</f>
        <v>0</v>
      </c>
      <c r="I5" s="12" t="n">
        <f aca="false">COUNTIFS(Checklist!$A$4:$A$201,$A5,Checklist!$K$4:$K$201,"進行中")</f>
        <v>0</v>
      </c>
      <c r="J5" s="15" t="n">
        <f aca="false">IF(E5=0,0,(F5+G5)/E5)</f>
        <v>0</v>
      </c>
    </row>
    <row r="6" customFormat="false" ht="15" hidden="false" customHeight="false" outlineLevel="0" collapsed="false">
      <c r="A6" s="12" t="s">
        <v>53</v>
      </c>
      <c r="B6" s="13" t="s">
        <v>54</v>
      </c>
      <c r="C6" s="13" t="s">
        <v>52</v>
      </c>
      <c r="D6" s="12"/>
      <c r="E6" s="12" t="n">
        <f aca="false">COUNTIFS(Checklist!$A$4:$A$201,$A6,Checklist!$D$4:$D$201,"&lt;&gt;步驟")</f>
        <v>6</v>
      </c>
      <c r="F6" s="12" t="n">
        <f aca="false">COUNTIFS(Checklist!$A$4:$A$201,$A6,Checklist!$K$4:$K$201,"完成")</f>
        <v>0</v>
      </c>
      <c r="G6" s="12" t="n">
        <f aca="false">COUNTIFS(Checklist!$A$4:$A$201,$A6,Checklist!$K$4:$K$201,"N/A")</f>
        <v>0</v>
      </c>
      <c r="H6" s="12" t="n">
        <f aca="false">COUNTIFS(Checklist!$A$4:$A$201,$A6,Checklist!$K$4:$K$201,"失敗")</f>
        <v>0</v>
      </c>
      <c r="I6" s="12" t="n">
        <f aca="false">COUNTIFS(Checklist!$A$4:$A$201,$A6,Checklist!$K$4:$K$201,"進行中")</f>
        <v>0</v>
      </c>
      <c r="J6" s="15" t="n">
        <f aca="false">IF(E6=0,0,(F6+G6)/E6)</f>
        <v>0</v>
      </c>
    </row>
    <row r="7" customFormat="false" ht="15" hidden="false" customHeight="false" outlineLevel="0" collapsed="false">
      <c r="A7" s="12" t="s">
        <v>55</v>
      </c>
      <c r="B7" s="12" t="s">
        <v>56</v>
      </c>
      <c r="C7" s="13" t="s">
        <v>52</v>
      </c>
      <c r="D7" s="12"/>
      <c r="E7" s="12" t="n">
        <f aca="false">COUNTIFS(Checklist!$A$4:$A$201,$A7,Checklist!$D$4:$D$201,"&lt;&gt;步驟")</f>
        <v>12</v>
      </c>
      <c r="F7" s="12" t="n">
        <f aca="false">COUNTIFS(Checklist!$A$4:$A$201,$A7,Checklist!$K$4:$K$201,"完成")</f>
        <v>0</v>
      </c>
      <c r="G7" s="12" t="n">
        <f aca="false">COUNTIFS(Checklist!$A$4:$A$201,$A7,Checklist!$K$4:$K$201,"N/A")</f>
        <v>0</v>
      </c>
      <c r="H7" s="12" t="n">
        <f aca="false">COUNTIFS(Checklist!$A$4:$A$201,$A7,Checklist!$K$4:$K$201,"失敗")</f>
        <v>0</v>
      </c>
      <c r="I7" s="12" t="n">
        <f aca="false">COUNTIFS(Checklist!$A$4:$A$201,$A7,Checklist!$K$4:$K$201,"進行中")</f>
        <v>0</v>
      </c>
      <c r="J7" s="15" t="n">
        <f aca="false">IF(E7=0,0,(F7+G7)/E7)</f>
        <v>0</v>
      </c>
    </row>
    <row r="8" customFormat="false" ht="15" hidden="false" customHeight="false" outlineLevel="0" collapsed="false">
      <c r="A8" s="12" t="s">
        <v>57</v>
      </c>
      <c r="B8" s="12" t="s">
        <v>58</v>
      </c>
      <c r="C8" s="13" t="s">
        <v>52</v>
      </c>
      <c r="D8" s="16" t="s">
        <v>27</v>
      </c>
      <c r="E8" s="12" t="n">
        <f aca="false">COUNTIFS(Checklist!$A$4:$A$201,$A8,Checklist!$D$4:$D$201,"&lt;&gt;步驟")</f>
        <v>16</v>
      </c>
      <c r="F8" s="12" t="n">
        <f aca="false">COUNTIFS(Checklist!$A$4:$A$201,$A8,Checklist!$K$4:$K$201,"完成")</f>
        <v>0</v>
      </c>
      <c r="G8" s="12" t="n">
        <f aca="false">COUNTIFS(Checklist!$A$4:$A$201,$A8,Checklist!$K$4:$K$201,"N/A")</f>
        <v>0</v>
      </c>
      <c r="H8" s="12" t="n">
        <f aca="false">COUNTIFS(Checklist!$A$4:$A$201,$A8,Checklist!$K$4:$K$201,"失敗")</f>
        <v>0</v>
      </c>
      <c r="I8" s="12" t="n">
        <f aca="false">COUNTIFS(Checklist!$A$4:$A$201,$A8,Checklist!$K$4:$K$201,"進行中")</f>
        <v>0</v>
      </c>
      <c r="J8" s="15" t="n">
        <f aca="false">IF(E8=0,0,(F8+G8)/E8)</f>
        <v>0</v>
      </c>
    </row>
    <row r="9" customFormat="false" ht="15" hidden="false" customHeight="false" outlineLevel="0" collapsed="false">
      <c r="A9" s="12" t="s">
        <v>59</v>
      </c>
      <c r="B9" s="12" t="s">
        <v>60</v>
      </c>
      <c r="C9" s="13" t="s">
        <v>52</v>
      </c>
      <c r="D9" s="12"/>
      <c r="E9" s="12" t="n">
        <f aca="false">COUNTIFS(Checklist!$A$4:$A$201,$A9,Checklist!$D$4:$D$201,"&lt;&gt;步驟")</f>
        <v>8</v>
      </c>
      <c r="F9" s="12" t="n">
        <f aca="false">COUNTIFS(Checklist!$A$4:$A$201,$A9,Checklist!$K$4:$K$201,"完成")</f>
        <v>0</v>
      </c>
      <c r="G9" s="12" t="n">
        <f aca="false">COUNTIFS(Checklist!$A$4:$A$201,$A9,Checklist!$K$4:$K$201,"N/A")</f>
        <v>0</v>
      </c>
      <c r="H9" s="12" t="n">
        <f aca="false">COUNTIFS(Checklist!$A$4:$A$201,$A9,Checklist!$K$4:$K$201,"失敗")</f>
        <v>0</v>
      </c>
      <c r="I9" s="12" t="n">
        <f aca="false">COUNTIFS(Checklist!$A$4:$A$201,$A9,Checklist!$K$4:$K$201,"進行中")</f>
        <v>0</v>
      </c>
      <c r="J9" s="15" t="n">
        <f aca="false">IF(E9=0,0,(F9+G9)/E9)</f>
        <v>0</v>
      </c>
    </row>
    <row r="10" customFormat="false" ht="15" hidden="false" customHeight="false" outlineLevel="0" collapsed="false">
      <c r="A10" s="12" t="s">
        <v>61</v>
      </c>
      <c r="B10" s="12" t="s">
        <v>62</v>
      </c>
      <c r="C10" s="13" t="s">
        <v>52</v>
      </c>
      <c r="D10" s="14" t="s">
        <v>29</v>
      </c>
      <c r="E10" s="12" t="n">
        <f aca="false">COUNTIFS(Checklist!$A$4:$A$201,$A10,Checklist!$D$4:$D$201,"&lt;&gt;步驟")</f>
        <v>19</v>
      </c>
      <c r="F10" s="12" t="n">
        <f aca="false">COUNTIFS(Checklist!$A$4:$A$201,$A10,Checklist!$K$4:$K$201,"完成")</f>
        <v>0</v>
      </c>
      <c r="G10" s="12" t="n">
        <f aca="false">COUNTIFS(Checklist!$A$4:$A$201,$A10,Checklist!$K$4:$K$201,"N/A")</f>
        <v>0</v>
      </c>
      <c r="H10" s="12" t="n">
        <f aca="false">COUNTIFS(Checklist!$A$4:$A$201,$A10,Checklist!$K$4:$K$201,"失敗")</f>
        <v>0</v>
      </c>
      <c r="I10" s="12" t="n">
        <f aca="false">COUNTIFS(Checklist!$A$4:$A$201,$A10,Checklist!$K$4:$K$201,"進行中")</f>
        <v>0</v>
      </c>
      <c r="J10" s="15" t="n">
        <f aca="false">IF(E10=0,0,(F10+G10)/E10)</f>
        <v>0</v>
      </c>
    </row>
    <row r="11" customFormat="false" ht="15" hidden="false" customHeight="false" outlineLevel="0" collapsed="false">
      <c r="A11" s="12" t="s">
        <v>63</v>
      </c>
      <c r="B11" s="13" t="s">
        <v>64</v>
      </c>
      <c r="C11" s="13" t="s">
        <v>65</v>
      </c>
      <c r="D11" s="12"/>
      <c r="E11" s="12" t="n">
        <f aca="false">COUNTIFS(Checklist!$A$4:$A$201,$A11,Checklist!$D$4:$D$201,"&lt;&gt;步驟")</f>
        <v>12</v>
      </c>
      <c r="F11" s="12" t="n">
        <f aca="false">COUNTIFS(Checklist!$A$4:$A$201,$A11,Checklist!$K$4:$K$201,"完成")</f>
        <v>0</v>
      </c>
      <c r="G11" s="12" t="n">
        <f aca="false">COUNTIFS(Checklist!$A$4:$A$201,$A11,Checklist!$K$4:$K$201,"N/A")</f>
        <v>0</v>
      </c>
      <c r="H11" s="12" t="n">
        <f aca="false">COUNTIFS(Checklist!$A$4:$A$201,$A11,Checklist!$K$4:$K$201,"失敗")</f>
        <v>0</v>
      </c>
      <c r="I11" s="12" t="n">
        <f aca="false">COUNTIFS(Checklist!$A$4:$A$201,$A11,Checklist!$K$4:$K$201,"進行中")</f>
        <v>0</v>
      </c>
      <c r="J11" s="15" t="n">
        <f aca="false">IF(E11=0,0,(F11+G11)/E11)</f>
        <v>0</v>
      </c>
    </row>
    <row r="12" customFormat="false" ht="15" hidden="false" customHeight="false" outlineLevel="0" collapsed="false">
      <c r="A12" s="12" t="s">
        <v>66</v>
      </c>
      <c r="B12" s="13" t="s">
        <v>67</v>
      </c>
      <c r="C12" s="13" t="s">
        <v>65</v>
      </c>
      <c r="D12" s="12"/>
      <c r="E12" s="12" t="n">
        <f aca="false">COUNTIFS(Checklist!$A$4:$A$201,$A12,Checklist!$D$4:$D$201,"&lt;&gt;步驟")</f>
        <v>8</v>
      </c>
      <c r="F12" s="12" t="n">
        <f aca="false">COUNTIFS(Checklist!$A$4:$A$201,$A12,Checklist!$K$4:$K$201,"完成")</f>
        <v>0</v>
      </c>
      <c r="G12" s="12" t="n">
        <f aca="false">COUNTIFS(Checklist!$A$4:$A$201,$A12,Checklist!$K$4:$K$201,"N/A")</f>
        <v>0</v>
      </c>
      <c r="H12" s="12" t="n">
        <f aca="false">COUNTIFS(Checklist!$A$4:$A$201,$A12,Checklist!$K$4:$K$201,"失敗")</f>
        <v>0</v>
      </c>
      <c r="I12" s="12" t="n">
        <f aca="false">COUNTIFS(Checklist!$A$4:$A$201,$A12,Checklist!$K$4:$K$201,"進行中")</f>
        <v>0</v>
      </c>
      <c r="J12" s="15" t="n">
        <f aca="false">IF(E12=0,0,(F12+G12)/E12)</f>
        <v>0</v>
      </c>
    </row>
    <row r="13" customFormat="false" ht="15" hidden="false" customHeight="false" outlineLevel="0" collapsed="false">
      <c r="A13" s="12" t="s">
        <v>68</v>
      </c>
      <c r="B13" s="13" t="s">
        <v>69</v>
      </c>
      <c r="C13" s="13" t="s">
        <v>65</v>
      </c>
      <c r="D13" s="16" t="s">
        <v>31</v>
      </c>
      <c r="E13" s="12" t="n">
        <f aca="false">COUNTIFS(Checklist!$A$4:$A$201,$A13,Checklist!$D$4:$D$201,"&lt;&gt;步驟")</f>
        <v>9</v>
      </c>
      <c r="F13" s="12" t="n">
        <f aca="false">COUNTIFS(Checklist!$A$4:$A$201,$A13,Checklist!$K$4:$K$201,"完成")</f>
        <v>0</v>
      </c>
      <c r="G13" s="12" t="n">
        <f aca="false">COUNTIFS(Checklist!$A$4:$A$201,$A13,Checklist!$K$4:$K$201,"N/A")</f>
        <v>0</v>
      </c>
      <c r="H13" s="12" t="n">
        <f aca="false">COUNTIFS(Checklist!$A$4:$A$201,$A13,Checklist!$K$4:$K$201,"失敗")</f>
        <v>0</v>
      </c>
      <c r="I13" s="12" t="n">
        <f aca="false">COUNTIFS(Checklist!$A$4:$A$201,$A13,Checklist!$K$4:$K$201,"進行中")</f>
        <v>0</v>
      </c>
      <c r="J13" s="15" t="n">
        <f aca="false">IF(E13=0,0,(F13+G13)/E13)</f>
        <v>0</v>
      </c>
    </row>
    <row r="14" customFormat="false" ht="15" hidden="false" customHeight="false" outlineLevel="0" collapsed="false">
      <c r="A14" s="12" t="s">
        <v>70</v>
      </c>
      <c r="B14" s="13" t="s">
        <v>71</v>
      </c>
      <c r="C14" s="13" t="s">
        <v>65</v>
      </c>
      <c r="D14" s="12"/>
      <c r="E14" s="12" t="n">
        <f aca="false">COUNTIFS(Checklist!$A$4:$A$201,$A14,Checklist!$D$4:$D$201,"&lt;&gt;步驟")</f>
        <v>7</v>
      </c>
      <c r="F14" s="12" t="n">
        <f aca="false">COUNTIFS(Checklist!$A$4:$A$201,$A14,Checklist!$K$4:$K$201,"完成")</f>
        <v>0</v>
      </c>
      <c r="G14" s="12" t="n">
        <f aca="false">COUNTIFS(Checklist!$A$4:$A$201,$A14,Checklist!$K$4:$K$201,"N/A")</f>
        <v>0</v>
      </c>
      <c r="H14" s="12" t="n">
        <f aca="false">COUNTIFS(Checklist!$A$4:$A$201,$A14,Checklist!$K$4:$K$201,"失敗")</f>
        <v>0</v>
      </c>
      <c r="I14" s="12" t="n">
        <f aca="false">COUNTIFS(Checklist!$A$4:$A$201,$A14,Checklist!$K$4:$K$201,"進行中")</f>
        <v>0</v>
      </c>
      <c r="J14" s="15" t="n">
        <f aca="false">IF(E14=0,0,(F14+G14)/E14)</f>
        <v>0</v>
      </c>
    </row>
    <row r="15" customFormat="false" ht="15" hidden="false" customHeight="false" outlineLevel="0" collapsed="false">
      <c r="A15" s="12" t="s">
        <v>72</v>
      </c>
      <c r="B15" s="13" t="s">
        <v>73</v>
      </c>
      <c r="C15" s="13" t="s">
        <v>74</v>
      </c>
      <c r="D15" s="12"/>
      <c r="E15" s="12" t="n">
        <f aca="false">COUNTIFS(Checklist!$A$4:$A$201,$A15,Checklist!$D$4:$D$201,"&lt;&gt;步驟")</f>
        <v>14</v>
      </c>
      <c r="F15" s="12" t="n">
        <f aca="false">COUNTIFS(Checklist!$A$4:$A$201,$A15,Checklist!$K$4:$K$201,"完成")</f>
        <v>0</v>
      </c>
      <c r="G15" s="12" t="n">
        <f aca="false">COUNTIFS(Checklist!$A$4:$A$201,$A15,Checklist!$K$4:$K$201,"N/A")</f>
        <v>0</v>
      </c>
      <c r="H15" s="12" t="n">
        <f aca="false">COUNTIFS(Checklist!$A$4:$A$201,$A15,Checklist!$K$4:$K$201,"失敗")</f>
        <v>0</v>
      </c>
      <c r="I15" s="12" t="n">
        <f aca="false">COUNTIFS(Checklist!$A$4:$A$201,$A15,Checklist!$K$4:$K$201,"進行中")</f>
        <v>0</v>
      </c>
      <c r="J15" s="15" t="n">
        <f aca="false">IF(E15=0,0,(F15+G15)/E15)</f>
        <v>0</v>
      </c>
    </row>
    <row r="16" customFormat="false" ht="15" hidden="false" customHeight="false" outlineLevel="0" collapsed="false">
      <c r="A16" s="12" t="s">
        <v>75</v>
      </c>
      <c r="B16" s="13" t="s">
        <v>76</v>
      </c>
      <c r="C16" s="13" t="s">
        <v>74</v>
      </c>
      <c r="D16" s="12"/>
      <c r="E16" s="12" t="n">
        <f aca="false">COUNTIFS(Checklist!$A$4:$A$201,$A16,Checklist!$D$4:$D$201,"&lt;&gt;步驟")</f>
        <v>9</v>
      </c>
      <c r="F16" s="12" t="n">
        <f aca="false">COUNTIFS(Checklist!$A$4:$A$201,$A16,Checklist!$K$4:$K$201,"完成")</f>
        <v>0</v>
      </c>
      <c r="G16" s="12" t="n">
        <f aca="false">COUNTIFS(Checklist!$A$4:$A$201,$A16,Checklist!$K$4:$K$201,"N/A")</f>
        <v>0</v>
      </c>
      <c r="H16" s="12" t="n">
        <f aca="false">COUNTIFS(Checklist!$A$4:$A$201,$A16,Checklist!$K$4:$K$201,"失敗")</f>
        <v>0</v>
      </c>
      <c r="I16" s="12" t="n">
        <f aca="false">COUNTIFS(Checklist!$A$4:$A$201,$A16,Checklist!$K$4:$K$201,"進行中")</f>
        <v>0</v>
      </c>
      <c r="J16" s="15" t="n">
        <f aca="false">IF(E16=0,0,(F16+G16)/E16)</f>
        <v>0</v>
      </c>
    </row>
    <row r="17" customFormat="false" ht="15" hidden="false" customHeight="false" outlineLevel="0" collapsed="false">
      <c r="A17" s="12" t="s">
        <v>77</v>
      </c>
      <c r="B17" s="13" t="s">
        <v>78</v>
      </c>
      <c r="C17" s="13" t="s">
        <v>74</v>
      </c>
      <c r="D17" s="16" t="s">
        <v>33</v>
      </c>
      <c r="E17" s="12" t="n">
        <f aca="false">COUNTIFS(Checklist!$A$4:$A$201,$A17,Checklist!$D$4:$D$201,"&lt;&gt;步驟")</f>
        <v>9</v>
      </c>
      <c r="F17" s="12" t="n">
        <f aca="false">COUNTIFS(Checklist!$A$4:$A$201,$A17,Checklist!$K$4:$K$201,"完成")</f>
        <v>0</v>
      </c>
      <c r="G17" s="12" t="n">
        <f aca="false">COUNTIFS(Checklist!$A$4:$A$201,$A17,Checklist!$K$4:$K$201,"N/A")</f>
        <v>0</v>
      </c>
      <c r="H17" s="12" t="n">
        <f aca="false">COUNTIFS(Checklist!$A$4:$A$201,$A17,Checklist!$K$4:$K$201,"失敗")</f>
        <v>0</v>
      </c>
      <c r="I17" s="12" t="n">
        <f aca="false">COUNTIFS(Checklist!$A$4:$A$201,$A17,Checklist!$K$4:$K$201,"進行中")</f>
        <v>0</v>
      </c>
      <c r="J17" s="15" t="n">
        <f aca="false">IF(E17=0,0,(F17+G17)/E17)</f>
        <v>0</v>
      </c>
    </row>
    <row r="18" customFormat="false" ht="15" hidden="false" customHeight="false" outlineLevel="0" collapsed="false">
      <c r="A18" s="12" t="s">
        <v>79</v>
      </c>
      <c r="B18" s="13" t="s">
        <v>80</v>
      </c>
      <c r="C18" s="13" t="s">
        <v>74</v>
      </c>
      <c r="D18" s="12"/>
      <c r="E18" s="12" t="n">
        <f aca="false">COUNTIFS(Checklist!$A$4:$A$201,$A18,Checklist!$D$4:$D$201,"&lt;&gt;步驟")</f>
        <v>7</v>
      </c>
      <c r="F18" s="12" t="n">
        <f aca="false">COUNTIFS(Checklist!$A$4:$A$201,$A18,Checklist!$K$4:$K$201,"完成")</f>
        <v>0</v>
      </c>
      <c r="G18" s="12" t="n">
        <f aca="false">COUNTIFS(Checklist!$A$4:$A$201,$A18,Checklist!$K$4:$K$201,"N/A")</f>
        <v>0</v>
      </c>
      <c r="H18" s="12" t="n">
        <f aca="false">COUNTIFS(Checklist!$A$4:$A$201,$A18,Checklist!$K$4:$K$201,"失敗")</f>
        <v>0</v>
      </c>
      <c r="I18" s="12" t="n">
        <f aca="false">COUNTIFS(Checklist!$A$4:$A$201,$A18,Checklist!$K$4:$K$201,"進行中")</f>
        <v>0</v>
      </c>
      <c r="J18" s="15" t="n">
        <f aca="false">IF(E18=0,0,(F18+G18)/E18)</f>
        <v>0</v>
      </c>
    </row>
    <row r="19" customFormat="false" ht="29.85" hidden="false" customHeight="false" outlineLevel="0" collapsed="false">
      <c r="A19" s="12" t="s">
        <v>81</v>
      </c>
      <c r="B19" s="12" t="s">
        <v>82</v>
      </c>
      <c r="C19" s="13" t="s">
        <v>83</v>
      </c>
      <c r="D19" s="12"/>
      <c r="E19" s="12" t="n">
        <f aca="false">COUNTIFS(Checklist!$A$4:$A$201,$A19,Checklist!$D$4:$D$201,"&lt;&gt;步驟")</f>
        <v>9</v>
      </c>
      <c r="F19" s="12" t="n">
        <f aca="false">COUNTIFS(Checklist!$A$4:$A$201,$A19,Checklist!$K$4:$K$201,"完成")</f>
        <v>0</v>
      </c>
      <c r="G19" s="12" t="n">
        <f aca="false">COUNTIFS(Checklist!$A$4:$A$201,$A19,Checklist!$K$4:$K$201,"N/A")</f>
        <v>0</v>
      </c>
      <c r="H19" s="12" t="n">
        <f aca="false">COUNTIFS(Checklist!$A$4:$A$201,$A19,Checklist!$K$4:$K$201,"失敗")</f>
        <v>0</v>
      </c>
      <c r="I19" s="12" t="n">
        <f aca="false">COUNTIFS(Checklist!$A$4:$A$201,$A19,Checklist!$K$4:$K$201,"進行中")</f>
        <v>0</v>
      </c>
      <c r="J19" s="15" t="n">
        <f aca="false">IF(E19=0,0,(F19+G19)/E19)</f>
        <v>0</v>
      </c>
    </row>
    <row r="20" customFormat="false" ht="15" hidden="false" customHeight="false" outlineLevel="0" collapsed="false">
      <c r="A20" s="12" t="s">
        <v>84</v>
      </c>
      <c r="B20" s="13" t="s">
        <v>85</v>
      </c>
      <c r="C20" s="13" t="s">
        <v>83</v>
      </c>
      <c r="D20" s="16" t="s">
        <v>35</v>
      </c>
      <c r="E20" s="12" t="n">
        <f aca="false">COUNTIFS(Checklist!$A$4:$A$201,$A20,Checklist!$D$4:$D$201,"&lt;&gt;步驟")</f>
        <v>6</v>
      </c>
      <c r="F20" s="12" t="n">
        <f aca="false">COUNTIFS(Checklist!$A$4:$A$201,$A20,Checklist!$K$4:$K$201,"完成")</f>
        <v>0</v>
      </c>
      <c r="G20" s="12" t="n">
        <f aca="false">COUNTIFS(Checklist!$A$4:$A$201,$A20,Checklist!$K$4:$K$201,"N/A")</f>
        <v>0</v>
      </c>
      <c r="H20" s="12" t="n">
        <f aca="false">COUNTIFS(Checklist!$A$4:$A$201,$A20,Checklist!$K$4:$K$201,"失敗")</f>
        <v>0</v>
      </c>
      <c r="I20" s="12" t="n">
        <f aca="false">COUNTIFS(Checklist!$A$4:$A$201,$A20,Checklist!$K$4:$K$201,"進行中")</f>
        <v>0</v>
      </c>
      <c r="J20" s="15" t="n">
        <f aca="false">IF(E20=0,0,(F20+G20)/E20)</f>
        <v>0</v>
      </c>
    </row>
    <row r="21" customFormat="false" ht="15" hidden="false" customHeight="false" outlineLevel="0" collapsed="false">
      <c r="A21" s="17" t="s">
        <v>86</v>
      </c>
      <c r="E21" s="18" t="n">
        <f aca="false">SUM(E4:E20)</f>
        <v>181</v>
      </c>
      <c r="F21" s="18" t="n">
        <f aca="false">SUM(F4:F20)</f>
        <v>0</v>
      </c>
      <c r="G21" s="18" t="n">
        <f aca="false">SUM(G4:G20)</f>
        <v>0</v>
      </c>
      <c r="H21" s="18" t="n">
        <f aca="false">SUM(H4:H20)</f>
        <v>0</v>
      </c>
      <c r="I21" s="18" t="n">
        <f aca="false">SUM(I4:I20)</f>
        <v>0</v>
      </c>
      <c r="J21" s="19" t="n">
        <f aca="false">IF(E21=0,0,(F21+G21)/E21)</f>
        <v>0</v>
      </c>
    </row>
    <row r="23" customFormat="false" ht="15" hidden="false" customHeight="false" outlineLevel="0" collapsed="false">
      <c r="A23" s="2" t="s">
        <v>87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52"/>
    <col collapsed="false" customWidth="true" hidden="false" outlineLevel="0" max="7" min="7" style="0" width="38"/>
    <col collapsed="false" customWidth="true" hidden="false" outlineLevel="0" max="8" min="8" style="0" width="18"/>
    <col collapsed="false" customWidth="true" hidden="false" outlineLevel="0" max="9" min="9" style="0" width="34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5" min="14" style="0" width="22"/>
  </cols>
  <sheetData>
    <row r="1" customFormat="false" ht="21.6" hidden="false" customHeight="false" outlineLevel="0" collapsed="false">
      <c r="A1" s="1" t="s">
        <v>88</v>
      </c>
    </row>
    <row r="2" customFormat="false" ht="15" hidden="false" customHeight="false" outlineLevel="0" collapsed="false">
      <c r="A2" s="2" t="s">
        <v>89</v>
      </c>
    </row>
    <row r="3" customFormat="false" ht="21.75" hidden="false" customHeight="true" outlineLevel="0" collapsed="false">
      <c r="A3" s="7" t="s">
        <v>38</v>
      </c>
      <c r="B3" s="8" t="s">
        <v>90</v>
      </c>
      <c r="C3" s="8" t="s">
        <v>40</v>
      </c>
      <c r="D3" s="8" t="s">
        <v>14</v>
      </c>
      <c r="E3" s="7" t="s">
        <v>91</v>
      </c>
      <c r="F3" s="8" t="s">
        <v>92</v>
      </c>
      <c r="G3" s="8" t="s">
        <v>93</v>
      </c>
      <c r="H3" s="8" t="s">
        <v>94</v>
      </c>
      <c r="I3" s="8" t="s">
        <v>95</v>
      </c>
      <c r="J3" s="8" t="s">
        <v>96</v>
      </c>
      <c r="K3" s="8" t="s">
        <v>97</v>
      </c>
      <c r="L3" s="8" t="s">
        <v>98</v>
      </c>
      <c r="M3" s="8" t="s">
        <v>99</v>
      </c>
      <c r="N3" s="8" t="s">
        <v>100</v>
      </c>
      <c r="O3" s="8" t="s">
        <v>101</v>
      </c>
    </row>
    <row r="4" customFormat="false" ht="45.75" hidden="false" customHeight="true" outlineLevel="0" collapsed="false">
      <c r="A4" s="20" t="s">
        <v>47</v>
      </c>
      <c r="B4" s="21" t="s">
        <v>102</v>
      </c>
      <c r="C4" s="21" t="s">
        <v>49</v>
      </c>
      <c r="D4" s="21" t="s">
        <v>39</v>
      </c>
      <c r="E4" s="20"/>
      <c r="F4" s="22" t="s">
        <v>103</v>
      </c>
      <c r="G4" s="20"/>
      <c r="H4" s="20"/>
      <c r="I4" s="20"/>
      <c r="J4" s="20"/>
      <c r="K4" s="20"/>
      <c r="L4" s="20"/>
      <c r="M4" s="20"/>
      <c r="N4" s="20"/>
      <c r="O4" s="20"/>
    </row>
    <row r="5" customFormat="false" ht="41" hidden="false" customHeight="false" outlineLevel="0" collapsed="false">
      <c r="A5" s="12" t="s">
        <v>47</v>
      </c>
      <c r="B5" s="13" t="s">
        <v>102</v>
      </c>
      <c r="C5" s="13" t="s">
        <v>49</v>
      </c>
      <c r="D5" s="23" t="s">
        <v>104</v>
      </c>
      <c r="E5" s="12" t="s">
        <v>105</v>
      </c>
      <c r="F5" s="12" t="s">
        <v>106</v>
      </c>
      <c r="G5" s="24" t="s">
        <v>107</v>
      </c>
      <c r="H5" s="12" t="s">
        <v>108</v>
      </c>
      <c r="I5" s="24" t="s">
        <v>109</v>
      </c>
      <c r="J5" s="12" t="s">
        <v>110</v>
      </c>
      <c r="K5" s="25" t="s">
        <v>111</v>
      </c>
      <c r="L5" s="26"/>
      <c r="M5" s="26"/>
      <c r="N5" s="26"/>
      <c r="O5" s="26"/>
    </row>
    <row r="6" customFormat="false" ht="29.85" hidden="false" customHeight="false" outlineLevel="0" collapsed="false">
      <c r="A6" s="12" t="s">
        <v>47</v>
      </c>
      <c r="B6" s="13" t="s">
        <v>102</v>
      </c>
      <c r="C6" s="13" t="s">
        <v>49</v>
      </c>
      <c r="D6" s="23" t="s">
        <v>104</v>
      </c>
      <c r="E6" s="12" t="s">
        <v>112</v>
      </c>
      <c r="F6" s="12" t="s">
        <v>113</v>
      </c>
      <c r="G6" s="24" t="s">
        <v>114</v>
      </c>
      <c r="H6" s="12" t="s">
        <v>115</v>
      </c>
      <c r="I6" s="24" t="s">
        <v>116</v>
      </c>
      <c r="J6" s="12" t="s">
        <v>110</v>
      </c>
      <c r="K6" s="25" t="s">
        <v>111</v>
      </c>
      <c r="L6" s="26"/>
      <c r="M6" s="26"/>
      <c r="N6" s="26"/>
      <c r="O6" s="26"/>
    </row>
    <row r="7" customFormat="false" ht="29.85" hidden="false" customHeight="false" outlineLevel="0" collapsed="false">
      <c r="A7" s="12" t="s">
        <v>47</v>
      </c>
      <c r="B7" s="13" t="s">
        <v>102</v>
      </c>
      <c r="C7" s="13" t="s">
        <v>49</v>
      </c>
      <c r="D7" s="23" t="s">
        <v>104</v>
      </c>
      <c r="E7" s="12" t="s">
        <v>117</v>
      </c>
      <c r="F7" s="12" t="s">
        <v>118</v>
      </c>
      <c r="G7" s="24" t="s">
        <v>119</v>
      </c>
      <c r="H7" s="13" t="s">
        <v>120</v>
      </c>
      <c r="I7" s="24" t="s">
        <v>121</v>
      </c>
      <c r="J7" s="12" t="s">
        <v>110</v>
      </c>
      <c r="K7" s="25" t="s">
        <v>111</v>
      </c>
      <c r="L7" s="26"/>
      <c r="M7" s="26"/>
      <c r="N7" s="26"/>
      <c r="O7" s="26"/>
    </row>
    <row r="8" customFormat="false" ht="44" hidden="false" customHeight="false" outlineLevel="0" collapsed="false">
      <c r="A8" s="12" t="s">
        <v>47</v>
      </c>
      <c r="B8" s="13" t="s">
        <v>102</v>
      </c>
      <c r="C8" s="13" t="s">
        <v>49</v>
      </c>
      <c r="D8" s="23" t="s">
        <v>104</v>
      </c>
      <c r="E8" s="12" t="s">
        <v>122</v>
      </c>
      <c r="F8" s="13" t="s">
        <v>123</v>
      </c>
      <c r="G8" s="24" t="s">
        <v>124</v>
      </c>
      <c r="H8" s="13" t="s">
        <v>125</v>
      </c>
      <c r="I8" s="24" t="s">
        <v>126</v>
      </c>
      <c r="J8" s="12" t="s">
        <v>127</v>
      </c>
      <c r="K8" s="25" t="s">
        <v>111</v>
      </c>
      <c r="L8" s="26"/>
      <c r="M8" s="26"/>
      <c r="N8" s="26"/>
      <c r="O8" s="26"/>
    </row>
    <row r="9" customFormat="false" ht="38.05" hidden="false" customHeight="false" outlineLevel="0" collapsed="false">
      <c r="A9" s="12" t="s">
        <v>47</v>
      </c>
      <c r="B9" s="13" t="s">
        <v>102</v>
      </c>
      <c r="C9" s="13" t="s">
        <v>49</v>
      </c>
      <c r="D9" s="23" t="s">
        <v>104</v>
      </c>
      <c r="E9" s="12" t="s">
        <v>128</v>
      </c>
      <c r="F9" s="13" t="s">
        <v>129</v>
      </c>
      <c r="G9" s="24" t="s">
        <v>130</v>
      </c>
      <c r="H9" s="13" t="s">
        <v>131</v>
      </c>
      <c r="I9" s="24" t="s">
        <v>132</v>
      </c>
      <c r="J9" s="12" t="s">
        <v>127</v>
      </c>
      <c r="K9" s="25" t="s">
        <v>111</v>
      </c>
      <c r="L9" s="26"/>
      <c r="M9" s="26"/>
      <c r="N9" s="26"/>
      <c r="O9" s="26"/>
    </row>
    <row r="10" customFormat="false" ht="41" hidden="false" customHeight="false" outlineLevel="0" collapsed="false">
      <c r="A10" s="12" t="s">
        <v>47</v>
      </c>
      <c r="B10" s="13" t="s">
        <v>102</v>
      </c>
      <c r="C10" s="13" t="s">
        <v>49</v>
      </c>
      <c r="D10" s="23" t="s">
        <v>104</v>
      </c>
      <c r="E10" s="12" t="s">
        <v>133</v>
      </c>
      <c r="F10" s="13" t="s">
        <v>134</v>
      </c>
      <c r="G10" s="24" t="s">
        <v>135</v>
      </c>
      <c r="H10" s="13" t="s">
        <v>136</v>
      </c>
      <c r="I10" s="24" t="s">
        <v>137</v>
      </c>
      <c r="J10" s="12" t="s">
        <v>127</v>
      </c>
      <c r="K10" s="25" t="s">
        <v>111</v>
      </c>
      <c r="L10" s="26"/>
      <c r="M10" s="26"/>
      <c r="N10" s="26"/>
      <c r="O10" s="26"/>
    </row>
    <row r="11" customFormat="false" ht="29.85" hidden="false" customHeight="false" outlineLevel="0" collapsed="false">
      <c r="A11" s="12" t="s">
        <v>47</v>
      </c>
      <c r="B11" s="13" t="s">
        <v>102</v>
      </c>
      <c r="C11" s="13" t="s">
        <v>49</v>
      </c>
      <c r="D11" s="23" t="s">
        <v>104</v>
      </c>
      <c r="E11" s="12" t="s">
        <v>138</v>
      </c>
      <c r="F11" s="12" t="s">
        <v>139</v>
      </c>
      <c r="G11" s="24" t="s">
        <v>140</v>
      </c>
      <c r="H11" s="13" t="s">
        <v>141</v>
      </c>
      <c r="I11" s="24" t="s">
        <v>142</v>
      </c>
      <c r="J11" s="12" t="s">
        <v>143</v>
      </c>
      <c r="K11" s="25" t="s">
        <v>111</v>
      </c>
      <c r="L11" s="26"/>
      <c r="M11" s="26"/>
      <c r="N11" s="26"/>
      <c r="O11" s="26"/>
    </row>
    <row r="12" customFormat="false" ht="58.2" hidden="false" customHeight="false" outlineLevel="0" collapsed="false">
      <c r="A12" s="12" t="s">
        <v>47</v>
      </c>
      <c r="B12" s="13" t="s">
        <v>102</v>
      </c>
      <c r="C12" s="13" t="s">
        <v>49</v>
      </c>
      <c r="D12" s="23" t="s">
        <v>104</v>
      </c>
      <c r="E12" s="12" t="s">
        <v>144</v>
      </c>
      <c r="F12" s="12" t="s">
        <v>145</v>
      </c>
      <c r="G12" s="24"/>
      <c r="H12" s="13" t="s">
        <v>146</v>
      </c>
      <c r="I12" s="24" t="s">
        <v>147</v>
      </c>
      <c r="J12" s="12" t="s">
        <v>143</v>
      </c>
      <c r="K12" s="25" t="s">
        <v>111</v>
      </c>
      <c r="L12" s="26"/>
      <c r="M12" s="26"/>
      <c r="N12" s="26"/>
      <c r="O12" s="26"/>
    </row>
    <row r="13" customFormat="false" ht="29.85" hidden="false" customHeight="false" outlineLevel="0" collapsed="false">
      <c r="A13" s="12" t="s">
        <v>47</v>
      </c>
      <c r="B13" s="13" t="s">
        <v>102</v>
      </c>
      <c r="C13" s="13" t="s">
        <v>49</v>
      </c>
      <c r="D13" s="23" t="s">
        <v>104</v>
      </c>
      <c r="E13" s="12" t="s">
        <v>148</v>
      </c>
      <c r="F13" s="13" t="s">
        <v>149</v>
      </c>
      <c r="G13" s="24"/>
      <c r="H13" s="13" t="s">
        <v>150</v>
      </c>
      <c r="I13" s="24" t="s">
        <v>151</v>
      </c>
      <c r="J13" s="12" t="s">
        <v>152</v>
      </c>
      <c r="K13" s="25" t="s">
        <v>111</v>
      </c>
      <c r="L13" s="26"/>
      <c r="M13" s="26"/>
      <c r="N13" s="26"/>
      <c r="O13" s="26"/>
    </row>
    <row r="14" customFormat="false" ht="44" hidden="false" customHeight="false" outlineLevel="0" collapsed="false">
      <c r="A14" s="12" t="s">
        <v>47</v>
      </c>
      <c r="B14" s="13" t="s">
        <v>102</v>
      </c>
      <c r="C14" s="13" t="s">
        <v>49</v>
      </c>
      <c r="D14" s="23" t="s">
        <v>104</v>
      </c>
      <c r="E14" s="12" t="s">
        <v>153</v>
      </c>
      <c r="F14" s="12" t="s">
        <v>154</v>
      </c>
      <c r="G14" s="24" t="s">
        <v>155</v>
      </c>
      <c r="H14" s="13" t="s">
        <v>120</v>
      </c>
      <c r="I14" s="24" t="s">
        <v>156</v>
      </c>
      <c r="J14" s="12" t="s">
        <v>157</v>
      </c>
      <c r="K14" s="25" t="s">
        <v>111</v>
      </c>
      <c r="L14" s="26"/>
      <c r="M14" s="26"/>
      <c r="N14" s="26"/>
      <c r="O14" s="26"/>
    </row>
    <row r="15" customFormat="false" ht="41" hidden="false" customHeight="false" outlineLevel="0" collapsed="false">
      <c r="A15" s="12" t="s">
        <v>47</v>
      </c>
      <c r="B15" s="13" t="s">
        <v>102</v>
      </c>
      <c r="C15" s="13" t="s">
        <v>49</v>
      </c>
      <c r="D15" s="23" t="s">
        <v>104</v>
      </c>
      <c r="E15" s="12" t="s">
        <v>158</v>
      </c>
      <c r="F15" s="12" t="s">
        <v>159</v>
      </c>
      <c r="G15" s="24" t="s">
        <v>160</v>
      </c>
      <c r="H15" s="13" t="s">
        <v>161</v>
      </c>
      <c r="I15" s="24" t="s">
        <v>162</v>
      </c>
      <c r="J15" s="12" t="s">
        <v>152</v>
      </c>
      <c r="K15" s="25" t="s">
        <v>111</v>
      </c>
      <c r="L15" s="26"/>
      <c r="M15" s="26"/>
      <c r="N15" s="26"/>
      <c r="O15" s="26"/>
    </row>
    <row r="16" customFormat="false" ht="29.85" hidden="false" customHeight="false" outlineLevel="0" collapsed="false">
      <c r="A16" s="12" t="s">
        <v>47</v>
      </c>
      <c r="B16" s="13" t="s">
        <v>102</v>
      </c>
      <c r="C16" s="13" t="s">
        <v>49</v>
      </c>
      <c r="D16" s="23" t="s">
        <v>104</v>
      </c>
      <c r="E16" s="12" t="s">
        <v>163</v>
      </c>
      <c r="F16" s="13" t="s">
        <v>164</v>
      </c>
      <c r="G16" s="24" t="s">
        <v>165</v>
      </c>
      <c r="H16" s="13" t="s">
        <v>166</v>
      </c>
      <c r="I16" s="24" t="s">
        <v>167</v>
      </c>
      <c r="J16" s="12" t="s">
        <v>127</v>
      </c>
      <c r="K16" s="25" t="s">
        <v>111</v>
      </c>
      <c r="L16" s="26"/>
      <c r="M16" s="26"/>
      <c r="N16" s="26"/>
      <c r="O16" s="26"/>
    </row>
    <row r="17" customFormat="false" ht="29.85" hidden="false" customHeight="false" outlineLevel="0" collapsed="false">
      <c r="A17" s="12" t="s">
        <v>47</v>
      </c>
      <c r="B17" s="13" t="s">
        <v>102</v>
      </c>
      <c r="C17" s="13" t="s">
        <v>49</v>
      </c>
      <c r="D17" s="27" t="s">
        <v>168</v>
      </c>
      <c r="E17" s="12" t="s">
        <v>169</v>
      </c>
      <c r="F17" s="13" t="s">
        <v>170</v>
      </c>
      <c r="G17" s="24"/>
      <c r="H17" s="13" t="s">
        <v>171</v>
      </c>
      <c r="I17" s="24"/>
      <c r="J17" s="12" t="s">
        <v>172</v>
      </c>
      <c r="K17" s="25" t="s">
        <v>111</v>
      </c>
      <c r="L17" s="26"/>
      <c r="M17" s="26"/>
      <c r="N17" s="26"/>
      <c r="O17" s="26"/>
    </row>
    <row r="18" customFormat="false" ht="15" hidden="false" customHeight="false" outlineLevel="0" collapsed="false">
      <c r="A18" s="12" t="s">
        <v>47</v>
      </c>
      <c r="B18" s="13" t="s">
        <v>102</v>
      </c>
      <c r="C18" s="13" t="s">
        <v>49</v>
      </c>
      <c r="D18" s="28" t="s">
        <v>173</v>
      </c>
      <c r="E18" s="12" t="s">
        <v>174</v>
      </c>
      <c r="F18" s="12" t="s">
        <v>175</v>
      </c>
      <c r="G18" s="24"/>
      <c r="H18" s="12" t="s">
        <v>176</v>
      </c>
      <c r="I18" s="24"/>
      <c r="J18" s="12" t="s">
        <v>177</v>
      </c>
      <c r="K18" s="25" t="s">
        <v>111</v>
      </c>
      <c r="L18" s="26"/>
      <c r="M18" s="26"/>
      <c r="N18" s="26"/>
      <c r="O18" s="26"/>
    </row>
    <row r="19" customFormat="false" ht="29.85" hidden="false" customHeight="false" outlineLevel="0" collapsed="false">
      <c r="A19" s="12" t="s">
        <v>47</v>
      </c>
      <c r="B19" s="13" t="s">
        <v>102</v>
      </c>
      <c r="C19" s="13" t="s">
        <v>49</v>
      </c>
      <c r="D19" s="29" t="s">
        <v>178</v>
      </c>
      <c r="E19" s="12" t="s">
        <v>179</v>
      </c>
      <c r="F19" s="13" t="s">
        <v>180</v>
      </c>
      <c r="G19" s="24"/>
      <c r="H19" s="12"/>
      <c r="I19" s="24"/>
      <c r="J19" s="12"/>
      <c r="K19" s="25" t="s">
        <v>111</v>
      </c>
      <c r="L19" s="26"/>
      <c r="M19" s="26"/>
      <c r="N19" s="26"/>
      <c r="O19" s="26"/>
    </row>
    <row r="20" customFormat="false" ht="45.75" hidden="false" customHeight="true" outlineLevel="0" collapsed="false">
      <c r="A20" s="30" t="s">
        <v>50</v>
      </c>
      <c r="B20" s="30" t="s">
        <v>181</v>
      </c>
      <c r="C20" s="31" t="s">
        <v>52</v>
      </c>
      <c r="D20" s="31" t="s">
        <v>39</v>
      </c>
      <c r="E20" s="30"/>
      <c r="F20" s="32" t="s">
        <v>182</v>
      </c>
      <c r="G20" s="30"/>
      <c r="H20" s="30"/>
      <c r="I20" s="30"/>
      <c r="J20" s="30"/>
      <c r="K20" s="30"/>
      <c r="L20" s="30"/>
      <c r="M20" s="30"/>
      <c r="N20" s="30"/>
      <c r="O20" s="30"/>
    </row>
    <row r="21" customFormat="false" ht="49.25" hidden="false" customHeight="false" outlineLevel="0" collapsed="false">
      <c r="A21" s="12" t="s">
        <v>50</v>
      </c>
      <c r="B21" s="12" t="s">
        <v>181</v>
      </c>
      <c r="C21" s="13" t="s">
        <v>52</v>
      </c>
      <c r="D21" s="23" t="s">
        <v>104</v>
      </c>
      <c r="E21" s="12" t="s">
        <v>183</v>
      </c>
      <c r="F21" s="12" t="s">
        <v>184</v>
      </c>
      <c r="G21" s="24" t="s">
        <v>185</v>
      </c>
      <c r="H21" s="12" t="s">
        <v>186</v>
      </c>
      <c r="I21" s="24" t="s">
        <v>187</v>
      </c>
      <c r="J21" s="12" t="s">
        <v>143</v>
      </c>
      <c r="K21" s="25" t="s">
        <v>111</v>
      </c>
      <c r="L21" s="26"/>
      <c r="M21" s="26"/>
      <c r="N21" s="26"/>
      <c r="O21" s="26"/>
    </row>
    <row r="22" customFormat="false" ht="29.85" hidden="false" customHeight="false" outlineLevel="0" collapsed="false">
      <c r="A22" s="12" t="s">
        <v>50</v>
      </c>
      <c r="B22" s="12" t="s">
        <v>181</v>
      </c>
      <c r="C22" s="13" t="s">
        <v>52</v>
      </c>
      <c r="D22" s="23" t="s">
        <v>104</v>
      </c>
      <c r="E22" s="12" t="s">
        <v>188</v>
      </c>
      <c r="F22" s="13" t="s">
        <v>189</v>
      </c>
      <c r="G22" s="24"/>
      <c r="H22" s="13" t="s">
        <v>190</v>
      </c>
      <c r="I22" s="24" t="s">
        <v>151</v>
      </c>
      <c r="J22" s="12" t="s">
        <v>152</v>
      </c>
      <c r="K22" s="25" t="s">
        <v>111</v>
      </c>
      <c r="L22" s="26"/>
      <c r="M22" s="26"/>
      <c r="N22" s="26"/>
      <c r="O22" s="26"/>
    </row>
    <row r="23" customFormat="false" ht="29.85" hidden="false" customHeight="false" outlineLevel="0" collapsed="false">
      <c r="A23" s="12" t="s">
        <v>50</v>
      </c>
      <c r="B23" s="12" t="s">
        <v>181</v>
      </c>
      <c r="C23" s="13" t="s">
        <v>52</v>
      </c>
      <c r="D23" s="23" t="s">
        <v>104</v>
      </c>
      <c r="E23" s="12" t="s">
        <v>191</v>
      </c>
      <c r="F23" s="13" t="s">
        <v>192</v>
      </c>
      <c r="G23" s="24"/>
      <c r="H23" s="13" t="s">
        <v>193</v>
      </c>
      <c r="I23" s="24" t="s">
        <v>194</v>
      </c>
      <c r="J23" s="12" t="s">
        <v>152</v>
      </c>
      <c r="K23" s="25" t="s">
        <v>111</v>
      </c>
      <c r="L23" s="26"/>
      <c r="M23" s="26"/>
      <c r="N23" s="26"/>
      <c r="O23" s="26"/>
    </row>
    <row r="24" customFormat="false" ht="29.85" hidden="false" customHeight="false" outlineLevel="0" collapsed="false">
      <c r="A24" s="12" t="s">
        <v>50</v>
      </c>
      <c r="B24" s="12" t="s">
        <v>181</v>
      </c>
      <c r="C24" s="13" t="s">
        <v>52</v>
      </c>
      <c r="D24" s="23" t="s">
        <v>104</v>
      </c>
      <c r="E24" s="12" t="s">
        <v>195</v>
      </c>
      <c r="F24" s="13" t="s">
        <v>196</v>
      </c>
      <c r="G24" s="24" t="s">
        <v>197</v>
      </c>
      <c r="H24" s="13" t="s">
        <v>198</v>
      </c>
      <c r="I24" s="24" t="s">
        <v>199</v>
      </c>
      <c r="J24" s="12" t="s">
        <v>143</v>
      </c>
      <c r="K24" s="25" t="s">
        <v>111</v>
      </c>
      <c r="L24" s="26"/>
      <c r="M24" s="26"/>
      <c r="N24" s="26"/>
      <c r="O24" s="26"/>
    </row>
    <row r="25" customFormat="false" ht="29.85" hidden="false" customHeight="false" outlineLevel="0" collapsed="false">
      <c r="A25" s="12" t="s">
        <v>50</v>
      </c>
      <c r="B25" s="12" t="s">
        <v>181</v>
      </c>
      <c r="C25" s="13" t="s">
        <v>52</v>
      </c>
      <c r="D25" s="23" t="s">
        <v>104</v>
      </c>
      <c r="E25" s="12" t="s">
        <v>200</v>
      </c>
      <c r="F25" s="13" t="s">
        <v>201</v>
      </c>
      <c r="G25" s="24" t="s">
        <v>202</v>
      </c>
      <c r="H25" s="13" t="s">
        <v>203</v>
      </c>
      <c r="I25" s="24" t="s">
        <v>204</v>
      </c>
      <c r="J25" s="12" t="s">
        <v>205</v>
      </c>
      <c r="K25" s="25" t="s">
        <v>111</v>
      </c>
      <c r="L25" s="26"/>
      <c r="M25" s="26"/>
      <c r="N25" s="26"/>
      <c r="O25" s="26"/>
    </row>
    <row r="26" customFormat="false" ht="29.85" hidden="false" customHeight="false" outlineLevel="0" collapsed="false">
      <c r="A26" s="12" t="s">
        <v>50</v>
      </c>
      <c r="B26" s="12" t="s">
        <v>181</v>
      </c>
      <c r="C26" s="13" t="s">
        <v>52</v>
      </c>
      <c r="D26" s="23" t="s">
        <v>104</v>
      </c>
      <c r="E26" s="12" t="s">
        <v>206</v>
      </c>
      <c r="F26" s="13" t="s">
        <v>207</v>
      </c>
      <c r="G26" s="24" t="s">
        <v>208</v>
      </c>
      <c r="H26" s="13" t="s">
        <v>209</v>
      </c>
      <c r="I26" s="24" t="s">
        <v>151</v>
      </c>
      <c r="J26" s="12" t="s">
        <v>110</v>
      </c>
      <c r="K26" s="25" t="s">
        <v>111</v>
      </c>
      <c r="L26" s="26"/>
      <c r="M26" s="26"/>
      <c r="N26" s="26"/>
      <c r="O26" s="26"/>
    </row>
    <row r="27" customFormat="false" ht="29.85" hidden="false" customHeight="false" outlineLevel="0" collapsed="false">
      <c r="A27" s="12" t="s">
        <v>50</v>
      </c>
      <c r="B27" s="12" t="s">
        <v>181</v>
      </c>
      <c r="C27" s="13" t="s">
        <v>52</v>
      </c>
      <c r="D27" s="27" t="s">
        <v>168</v>
      </c>
      <c r="E27" s="12" t="s">
        <v>210</v>
      </c>
      <c r="F27" s="12" t="s">
        <v>211</v>
      </c>
      <c r="G27" s="33" t="s">
        <v>212</v>
      </c>
      <c r="H27" s="13" t="s">
        <v>213</v>
      </c>
      <c r="I27" s="24" t="s">
        <v>214</v>
      </c>
      <c r="J27" s="12" t="s">
        <v>205</v>
      </c>
      <c r="K27" s="25" t="s">
        <v>111</v>
      </c>
      <c r="L27" s="26"/>
      <c r="M27" s="26"/>
      <c r="N27" s="26"/>
      <c r="O27" s="26"/>
    </row>
    <row r="28" customFormat="false" ht="26.85" hidden="false" customHeight="false" outlineLevel="0" collapsed="false">
      <c r="A28" s="12" t="s">
        <v>50</v>
      </c>
      <c r="B28" s="12" t="s">
        <v>181</v>
      </c>
      <c r="C28" s="13" t="s">
        <v>52</v>
      </c>
      <c r="D28" s="27" t="s">
        <v>168</v>
      </c>
      <c r="E28" s="12" t="s">
        <v>215</v>
      </c>
      <c r="F28" s="12" t="s">
        <v>216</v>
      </c>
      <c r="G28" s="24" t="s">
        <v>217</v>
      </c>
      <c r="H28" s="12" t="s">
        <v>218</v>
      </c>
      <c r="I28" s="24" t="s">
        <v>151</v>
      </c>
      <c r="J28" s="12" t="s">
        <v>205</v>
      </c>
      <c r="K28" s="25" t="s">
        <v>111</v>
      </c>
      <c r="L28" s="26"/>
      <c r="M28" s="26"/>
      <c r="N28" s="26"/>
      <c r="O28" s="26"/>
    </row>
    <row r="29" customFormat="false" ht="44" hidden="false" customHeight="false" outlineLevel="0" collapsed="false">
      <c r="A29" s="12" t="s">
        <v>50</v>
      </c>
      <c r="B29" s="12" t="s">
        <v>181</v>
      </c>
      <c r="C29" s="13" t="s">
        <v>52</v>
      </c>
      <c r="D29" s="27" t="s">
        <v>168</v>
      </c>
      <c r="E29" s="12" t="s">
        <v>219</v>
      </c>
      <c r="F29" s="12" t="s">
        <v>220</v>
      </c>
      <c r="G29" s="24" t="s">
        <v>221</v>
      </c>
      <c r="H29" s="13" t="s">
        <v>222</v>
      </c>
      <c r="I29" s="24" t="s">
        <v>199</v>
      </c>
      <c r="J29" s="12" t="s">
        <v>205</v>
      </c>
      <c r="K29" s="25" t="s">
        <v>111</v>
      </c>
      <c r="L29" s="26"/>
      <c r="M29" s="26"/>
      <c r="N29" s="26"/>
      <c r="O29" s="26"/>
    </row>
    <row r="30" customFormat="false" ht="23.85" hidden="false" customHeight="false" outlineLevel="0" collapsed="false">
      <c r="A30" s="12" t="s">
        <v>50</v>
      </c>
      <c r="B30" s="12" t="s">
        <v>181</v>
      </c>
      <c r="C30" s="13" t="s">
        <v>52</v>
      </c>
      <c r="D30" s="27" t="s">
        <v>168</v>
      </c>
      <c r="E30" s="12" t="s">
        <v>223</v>
      </c>
      <c r="F30" s="13" t="s">
        <v>224</v>
      </c>
      <c r="G30" s="24" t="s">
        <v>225</v>
      </c>
      <c r="H30" s="13" t="s">
        <v>226</v>
      </c>
      <c r="I30" s="24" t="s">
        <v>214</v>
      </c>
      <c r="J30" s="12" t="s">
        <v>205</v>
      </c>
      <c r="K30" s="25" t="s">
        <v>111</v>
      </c>
      <c r="L30" s="26"/>
      <c r="M30" s="26"/>
      <c r="N30" s="26"/>
      <c r="O30" s="26"/>
    </row>
    <row r="31" customFormat="false" ht="15" hidden="false" customHeight="false" outlineLevel="0" collapsed="false">
      <c r="A31" s="12" t="s">
        <v>50</v>
      </c>
      <c r="B31" s="12" t="s">
        <v>181</v>
      </c>
      <c r="C31" s="13" t="s">
        <v>52</v>
      </c>
      <c r="D31" s="28" t="s">
        <v>173</v>
      </c>
      <c r="E31" s="12" t="s">
        <v>227</v>
      </c>
      <c r="F31" s="12" t="s">
        <v>228</v>
      </c>
      <c r="G31" s="24" t="s">
        <v>229</v>
      </c>
      <c r="H31" s="13" t="s">
        <v>230</v>
      </c>
      <c r="I31" s="24" t="s">
        <v>204</v>
      </c>
      <c r="J31" s="12" t="s">
        <v>205</v>
      </c>
      <c r="K31" s="25" t="s">
        <v>111</v>
      </c>
      <c r="L31" s="26"/>
      <c r="M31" s="26"/>
      <c r="N31" s="26"/>
      <c r="O31" s="26"/>
    </row>
    <row r="32" customFormat="false" ht="29.85" hidden="false" customHeight="false" outlineLevel="0" collapsed="false">
      <c r="A32" s="12" t="s">
        <v>50</v>
      </c>
      <c r="B32" s="12" t="s">
        <v>181</v>
      </c>
      <c r="C32" s="13" t="s">
        <v>52</v>
      </c>
      <c r="D32" s="28" t="s">
        <v>173</v>
      </c>
      <c r="E32" s="12" t="s">
        <v>231</v>
      </c>
      <c r="F32" s="13" t="s">
        <v>232</v>
      </c>
      <c r="G32" s="24" t="s">
        <v>233</v>
      </c>
      <c r="H32" s="12" t="s">
        <v>234</v>
      </c>
      <c r="I32" s="24" t="s">
        <v>151</v>
      </c>
      <c r="J32" s="12" t="s">
        <v>205</v>
      </c>
      <c r="K32" s="25" t="s">
        <v>111</v>
      </c>
      <c r="L32" s="26"/>
      <c r="M32" s="26"/>
      <c r="N32" s="26"/>
      <c r="O32" s="26"/>
    </row>
    <row r="33" customFormat="false" ht="29.85" hidden="false" customHeight="false" outlineLevel="0" collapsed="false">
      <c r="A33" s="12" t="s">
        <v>50</v>
      </c>
      <c r="B33" s="12" t="s">
        <v>181</v>
      </c>
      <c r="C33" s="13" t="s">
        <v>52</v>
      </c>
      <c r="D33" s="28" t="s">
        <v>173</v>
      </c>
      <c r="E33" s="12" t="s">
        <v>235</v>
      </c>
      <c r="F33" s="12" t="s">
        <v>236</v>
      </c>
      <c r="G33" s="24" t="s">
        <v>237</v>
      </c>
      <c r="H33" s="13" t="s">
        <v>238</v>
      </c>
      <c r="I33" s="24" t="s">
        <v>151</v>
      </c>
      <c r="J33" s="12" t="s">
        <v>110</v>
      </c>
      <c r="K33" s="25" t="s">
        <v>111</v>
      </c>
      <c r="L33" s="26"/>
      <c r="M33" s="26"/>
      <c r="N33" s="26"/>
      <c r="O33" s="26"/>
    </row>
    <row r="34" customFormat="false" ht="29.85" hidden="false" customHeight="false" outlineLevel="0" collapsed="false">
      <c r="A34" s="12" t="s">
        <v>50</v>
      </c>
      <c r="B34" s="12" t="s">
        <v>181</v>
      </c>
      <c r="C34" s="13" t="s">
        <v>52</v>
      </c>
      <c r="D34" s="29" t="s">
        <v>178</v>
      </c>
      <c r="E34" s="12" t="s">
        <v>239</v>
      </c>
      <c r="F34" s="13" t="s">
        <v>240</v>
      </c>
      <c r="G34" s="24"/>
      <c r="H34" s="13" t="s">
        <v>241</v>
      </c>
      <c r="I34" s="24"/>
      <c r="J34" s="12" t="s">
        <v>205</v>
      </c>
      <c r="K34" s="25" t="s">
        <v>111</v>
      </c>
      <c r="L34" s="26"/>
      <c r="M34" s="26"/>
      <c r="N34" s="26"/>
      <c r="O34" s="26"/>
    </row>
    <row r="35" customFormat="false" ht="29.85" hidden="false" customHeight="false" outlineLevel="0" collapsed="false">
      <c r="A35" s="12" t="s">
        <v>50</v>
      </c>
      <c r="B35" s="12" t="s">
        <v>181</v>
      </c>
      <c r="C35" s="13" t="s">
        <v>52</v>
      </c>
      <c r="D35" s="29" t="s">
        <v>178</v>
      </c>
      <c r="E35" s="12" t="s">
        <v>242</v>
      </c>
      <c r="F35" s="34" t="s">
        <v>243</v>
      </c>
      <c r="G35" s="24"/>
      <c r="H35" s="12"/>
      <c r="I35" s="24"/>
      <c r="J35" s="12"/>
      <c r="K35" s="25" t="s">
        <v>111</v>
      </c>
      <c r="L35" s="26"/>
      <c r="M35" s="26"/>
      <c r="N35" s="26"/>
      <c r="O35" s="26"/>
    </row>
    <row r="36" customFormat="false" ht="45.75" hidden="false" customHeight="true" outlineLevel="0" collapsed="false">
      <c r="A36" s="30" t="s">
        <v>53</v>
      </c>
      <c r="B36" s="30" t="s">
        <v>244</v>
      </c>
      <c r="C36" s="31" t="s">
        <v>52</v>
      </c>
      <c r="D36" s="31" t="s">
        <v>39</v>
      </c>
      <c r="E36" s="30"/>
      <c r="F36" s="32" t="s">
        <v>245</v>
      </c>
      <c r="G36" s="30"/>
      <c r="H36" s="30"/>
      <c r="I36" s="30"/>
      <c r="J36" s="30"/>
      <c r="K36" s="30"/>
      <c r="L36" s="30"/>
      <c r="M36" s="30"/>
      <c r="N36" s="30"/>
      <c r="O36" s="30"/>
    </row>
    <row r="37" customFormat="false" ht="29.85" hidden="false" customHeight="false" outlineLevel="0" collapsed="false">
      <c r="A37" s="12" t="s">
        <v>53</v>
      </c>
      <c r="B37" s="12" t="s">
        <v>244</v>
      </c>
      <c r="C37" s="13" t="s">
        <v>52</v>
      </c>
      <c r="D37" s="23" t="s">
        <v>104</v>
      </c>
      <c r="E37" s="12" t="s">
        <v>246</v>
      </c>
      <c r="F37" s="12" t="s">
        <v>247</v>
      </c>
      <c r="G37" s="24"/>
      <c r="H37" s="13" t="s">
        <v>248</v>
      </c>
      <c r="I37" s="24" t="s">
        <v>249</v>
      </c>
      <c r="J37" s="12" t="s">
        <v>205</v>
      </c>
      <c r="K37" s="25" t="s">
        <v>111</v>
      </c>
      <c r="L37" s="26"/>
      <c r="M37" s="26"/>
      <c r="N37" s="26"/>
      <c r="O37" s="26"/>
    </row>
    <row r="38" customFormat="false" ht="15" hidden="false" customHeight="false" outlineLevel="0" collapsed="false">
      <c r="A38" s="12" t="s">
        <v>53</v>
      </c>
      <c r="B38" s="12" t="s">
        <v>244</v>
      </c>
      <c r="C38" s="13" t="s">
        <v>52</v>
      </c>
      <c r="D38" s="23" t="s">
        <v>104</v>
      </c>
      <c r="E38" s="12" t="s">
        <v>250</v>
      </c>
      <c r="F38" s="12" t="s">
        <v>251</v>
      </c>
      <c r="G38" s="24" t="s">
        <v>252</v>
      </c>
      <c r="H38" s="13" t="s">
        <v>253</v>
      </c>
      <c r="I38" s="24"/>
      <c r="J38" s="12" t="s">
        <v>143</v>
      </c>
      <c r="K38" s="25" t="s">
        <v>111</v>
      </c>
      <c r="L38" s="26"/>
      <c r="M38" s="26"/>
      <c r="N38" s="26"/>
      <c r="O38" s="26"/>
    </row>
    <row r="39" customFormat="false" ht="29.85" hidden="false" customHeight="false" outlineLevel="0" collapsed="false">
      <c r="A39" s="12" t="s">
        <v>53</v>
      </c>
      <c r="B39" s="12" t="s">
        <v>244</v>
      </c>
      <c r="C39" s="13" t="s">
        <v>52</v>
      </c>
      <c r="D39" s="23" t="s">
        <v>104</v>
      </c>
      <c r="E39" s="12" t="s">
        <v>254</v>
      </c>
      <c r="F39" s="13" t="s">
        <v>255</v>
      </c>
      <c r="G39" s="24" t="s">
        <v>256</v>
      </c>
      <c r="H39" s="13" t="s">
        <v>257</v>
      </c>
      <c r="I39" s="24" t="s">
        <v>151</v>
      </c>
      <c r="J39" s="12" t="s">
        <v>205</v>
      </c>
      <c r="K39" s="25" t="s">
        <v>111</v>
      </c>
      <c r="L39" s="26"/>
      <c r="M39" s="26"/>
      <c r="N39" s="26"/>
      <c r="O39" s="26"/>
    </row>
    <row r="40" customFormat="false" ht="29.85" hidden="false" customHeight="false" outlineLevel="0" collapsed="false">
      <c r="A40" s="12" t="s">
        <v>53</v>
      </c>
      <c r="B40" s="12" t="s">
        <v>244</v>
      </c>
      <c r="C40" s="13" t="s">
        <v>52</v>
      </c>
      <c r="D40" s="27" t="s">
        <v>168</v>
      </c>
      <c r="E40" s="12" t="s">
        <v>258</v>
      </c>
      <c r="F40" s="13" t="s">
        <v>259</v>
      </c>
      <c r="G40" s="24" t="s">
        <v>260</v>
      </c>
      <c r="H40" s="12" t="s">
        <v>261</v>
      </c>
      <c r="I40" s="24"/>
      <c r="J40" s="12" t="s">
        <v>205</v>
      </c>
      <c r="K40" s="25" t="s">
        <v>111</v>
      </c>
      <c r="L40" s="26"/>
      <c r="M40" s="26"/>
      <c r="N40" s="26"/>
      <c r="O40" s="26"/>
    </row>
    <row r="41" customFormat="false" ht="15" hidden="false" customHeight="false" outlineLevel="0" collapsed="false">
      <c r="A41" s="12" t="s">
        <v>53</v>
      </c>
      <c r="B41" s="12" t="s">
        <v>244</v>
      </c>
      <c r="C41" s="13" t="s">
        <v>52</v>
      </c>
      <c r="D41" s="28" t="s">
        <v>173</v>
      </c>
      <c r="E41" s="12" t="s">
        <v>262</v>
      </c>
      <c r="F41" s="12" t="s">
        <v>263</v>
      </c>
      <c r="G41" s="24" t="s">
        <v>264</v>
      </c>
      <c r="H41" s="12" t="s">
        <v>265</v>
      </c>
      <c r="I41" s="24"/>
      <c r="J41" s="12" t="s">
        <v>205</v>
      </c>
      <c r="K41" s="25" t="s">
        <v>111</v>
      </c>
      <c r="L41" s="26"/>
      <c r="M41" s="26"/>
      <c r="N41" s="26"/>
      <c r="O41" s="26"/>
    </row>
    <row r="42" customFormat="false" ht="29.85" hidden="false" customHeight="false" outlineLevel="0" collapsed="false">
      <c r="A42" s="12" t="s">
        <v>53</v>
      </c>
      <c r="B42" s="12" t="s">
        <v>244</v>
      </c>
      <c r="C42" s="13" t="s">
        <v>52</v>
      </c>
      <c r="D42" s="29" t="s">
        <v>178</v>
      </c>
      <c r="E42" s="12" t="s">
        <v>266</v>
      </c>
      <c r="F42" s="13" t="s">
        <v>267</v>
      </c>
      <c r="G42" s="24"/>
      <c r="H42" s="12"/>
      <c r="I42" s="24"/>
      <c r="J42" s="12" t="s">
        <v>205</v>
      </c>
      <c r="K42" s="25" t="s">
        <v>111</v>
      </c>
      <c r="L42" s="26"/>
      <c r="M42" s="26"/>
      <c r="N42" s="26"/>
      <c r="O42" s="26"/>
    </row>
    <row r="43" customFormat="false" ht="45.75" hidden="false" customHeight="true" outlineLevel="0" collapsed="false">
      <c r="A43" s="30" t="s">
        <v>55</v>
      </c>
      <c r="B43" s="30" t="s">
        <v>268</v>
      </c>
      <c r="C43" s="31" t="s">
        <v>52</v>
      </c>
      <c r="D43" s="31" t="s">
        <v>39</v>
      </c>
      <c r="E43" s="30"/>
      <c r="F43" s="32" t="s">
        <v>269</v>
      </c>
      <c r="G43" s="30"/>
      <c r="H43" s="30"/>
      <c r="I43" s="30"/>
      <c r="J43" s="30"/>
      <c r="K43" s="30"/>
      <c r="L43" s="30"/>
      <c r="M43" s="30"/>
      <c r="N43" s="30"/>
      <c r="O43" s="30"/>
    </row>
    <row r="44" customFormat="false" ht="44" hidden="false" customHeight="false" outlineLevel="0" collapsed="false">
      <c r="A44" s="12" t="s">
        <v>55</v>
      </c>
      <c r="B44" s="12" t="s">
        <v>268</v>
      </c>
      <c r="C44" s="13" t="s">
        <v>52</v>
      </c>
      <c r="D44" s="23" t="s">
        <v>104</v>
      </c>
      <c r="E44" s="12" t="s">
        <v>270</v>
      </c>
      <c r="F44" s="13" t="s">
        <v>271</v>
      </c>
      <c r="G44" s="24"/>
      <c r="H44" s="13" t="s">
        <v>272</v>
      </c>
      <c r="I44" s="24" t="s">
        <v>273</v>
      </c>
      <c r="J44" s="12" t="s">
        <v>152</v>
      </c>
      <c r="K44" s="25" t="s">
        <v>111</v>
      </c>
      <c r="L44" s="26"/>
      <c r="M44" s="26"/>
      <c r="N44" s="26"/>
      <c r="O44" s="26"/>
    </row>
    <row r="45" customFormat="false" ht="41" hidden="false" customHeight="false" outlineLevel="0" collapsed="false">
      <c r="A45" s="12" t="s">
        <v>55</v>
      </c>
      <c r="B45" s="12" t="s">
        <v>268</v>
      </c>
      <c r="C45" s="13" t="s">
        <v>52</v>
      </c>
      <c r="D45" s="23" t="s">
        <v>104</v>
      </c>
      <c r="E45" s="12" t="s">
        <v>274</v>
      </c>
      <c r="F45" s="13" t="s">
        <v>275</v>
      </c>
      <c r="G45" s="24"/>
      <c r="H45" s="12"/>
      <c r="I45" s="24" t="s">
        <v>276</v>
      </c>
      <c r="J45" s="12" t="s">
        <v>152</v>
      </c>
      <c r="K45" s="25" t="s">
        <v>111</v>
      </c>
      <c r="L45" s="26"/>
      <c r="M45" s="26"/>
      <c r="N45" s="26"/>
      <c r="O45" s="26"/>
    </row>
    <row r="46" customFormat="false" ht="29.85" hidden="false" customHeight="false" outlineLevel="0" collapsed="false">
      <c r="A46" s="12" t="s">
        <v>55</v>
      </c>
      <c r="B46" s="12" t="s">
        <v>268</v>
      </c>
      <c r="C46" s="13" t="s">
        <v>52</v>
      </c>
      <c r="D46" s="23" t="s">
        <v>104</v>
      </c>
      <c r="E46" s="12" t="s">
        <v>277</v>
      </c>
      <c r="F46" s="13" t="s">
        <v>278</v>
      </c>
      <c r="G46" s="24"/>
      <c r="H46" s="12"/>
      <c r="I46" s="24" t="s">
        <v>279</v>
      </c>
      <c r="J46" s="12" t="s">
        <v>205</v>
      </c>
      <c r="K46" s="25" t="s">
        <v>111</v>
      </c>
      <c r="L46" s="26"/>
      <c r="M46" s="26"/>
      <c r="N46" s="26"/>
      <c r="O46" s="26"/>
    </row>
    <row r="47" customFormat="false" ht="29.85" hidden="false" customHeight="false" outlineLevel="0" collapsed="false">
      <c r="A47" s="12" t="s">
        <v>55</v>
      </c>
      <c r="B47" s="12" t="s">
        <v>268</v>
      </c>
      <c r="C47" s="13" t="s">
        <v>52</v>
      </c>
      <c r="D47" s="23" t="s">
        <v>104</v>
      </c>
      <c r="E47" s="12" t="s">
        <v>280</v>
      </c>
      <c r="F47" s="12" t="s">
        <v>281</v>
      </c>
      <c r="G47" s="24" t="s">
        <v>282</v>
      </c>
      <c r="H47" s="12" t="s">
        <v>283</v>
      </c>
      <c r="I47" s="24" t="s">
        <v>151</v>
      </c>
      <c r="J47" s="12" t="s">
        <v>205</v>
      </c>
      <c r="K47" s="25" t="s">
        <v>111</v>
      </c>
      <c r="L47" s="26"/>
      <c r="M47" s="26"/>
      <c r="N47" s="26"/>
      <c r="O47" s="26"/>
    </row>
    <row r="48" customFormat="false" ht="72.35" hidden="false" customHeight="false" outlineLevel="0" collapsed="false">
      <c r="A48" s="12" t="s">
        <v>55</v>
      </c>
      <c r="B48" s="12" t="s">
        <v>268</v>
      </c>
      <c r="C48" s="13" t="s">
        <v>52</v>
      </c>
      <c r="D48" s="27" t="s">
        <v>168</v>
      </c>
      <c r="E48" s="12" t="s">
        <v>284</v>
      </c>
      <c r="F48" s="13" t="s">
        <v>285</v>
      </c>
      <c r="G48" s="24" t="s">
        <v>286</v>
      </c>
      <c r="H48" s="13" t="s">
        <v>287</v>
      </c>
      <c r="I48" s="24" t="s">
        <v>273</v>
      </c>
      <c r="J48" s="12" t="s">
        <v>205</v>
      </c>
      <c r="K48" s="25" t="s">
        <v>111</v>
      </c>
      <c r="L48" s="26"/>
      <c r="M48" s="26"/>
      <c r="N48" s="26"/>
      <c r="O48" s="26"/>
    </row>
    <row r="49" customFormat="false" ht="26.85" hidden="false" customHeight="false" outlineLevel="0" collapsed="false">
      <c r="A49" s="12" t="s">
        <v>55</v>
      </c>
      <c r="B49" s="12" t="s">
        <v>268</v>
      </c>
      <c r="C49" s="13" t="s">
        <v>52</v>
      </c>
      <c r="D49" s="27" t="s">
        <v>168</v>
      </c>
      <c r="E49" s="12" t="s">
        <v>288</v>
      </c>
      <c r="F49" s="13" t="s">
        <v>289</v>
      </c>
      <c r="G49" s="24" t="s">
        <v>286</v>
      </c>
      <c r="H49" s="13" t="s">
        <v>287</v>
      </c>
      <c r="I49" s="24" t="s">
        <v>121</v>
      </c>
      <c r="J49" s="12" t="s">
        <v>205</v>
      </c>
      <c r="K49" s="25" t="s">
        <v>111</v>
      </c>
      <c r="L49" s="26"/>
      <c r="M49" s="26"/>
      <c r="N49" s="26"/>
      <c r="O49" s="26"/>
    </row>
    <row r="50" customFormat="false" ht="44" hidden="false" customHeight="false" outlineLevel="0" collapsed="false">
      <c r="A50" s="12" t="s">
        <v>55</v>
      </c>
      <c r="B50" s="12" t="s">
        <v>268</v>
      </c>
      <c r="C50" s="13" t="s">
        <v>52</v>
      </c>
      <c r="D50" s="27" t="s">
        <v>168</v>
      </c>
      <c r="E50" s="12" t="s">
        <v>290</v>
      </c>
      <c r="F50" s="13" t="s">
        <v>291</v>
      </c>
      <c r="G50" s="24" t="s">
        <v>292</v>
      </c>
      <c r="H50" s="13" t="s">
        <v>287</v>
      </c>
      <c r="I50" s="24" t="s">
        <v>293</v>
      </c>
      <c r="J50" s="12" t="s">
        <v>205</v>
      </c>
      <c r="K50" s="25" t="s">
        <v>111</v>
      </c>
      <c r="L50" s="26"/>
      <c r="M50" s="26"/>
      <c r="N50" s="26"/>
      <c r="O50" s="26"/>
    </row>
    <row r="51" customFormat="false" ht="29.85" hidden="false" customHeight="false" outlineLevel="0" collapsed="false">
      <c r="A51" s="12" t="s">
        <v>55</v>
      </c>
      <c r="B51" s="12" t="s">
        <v>268</v>
      </c>
      <c r="C51" s="13" t="s">
        <v>52</v>
      </c>
      <c r="D51" s="27" t="s">
        <v>168</v>
      </c>
      <c r="E51" s="12" t="s">
        <v>294</v>
      </c>
      <c r="F51" s="12" t="s">
        <v>295</v>
      </c>
      <c r="G51" s="24" t="s">
        <v>296</v>
      </c>
      <c r="H51" s="12" t="s">
        <v>297</v>
      </c>
      <c r="I51" s="24" t="s">
        <v>151</v>
      </c>
      <c r="J51" s="12" t="s">
        <v>205</v>
      </c>
      <c r="K51" s="25" t="s">
        <v>111</v>
      </c>
      <c r="L51" s="26"/>
      <c r="M51" s="26"/>
      <c r="N51" s="26"/>
      <c r="O51" s="26"/>
    </row>
    <row r="52" customFormat="false" ht="23.85" hidden="false" customHeight="false" outlineLevel="0" collapsed="false">
      <c r="A52" s="12" t="s">
        <v>55</v>
      </c>
      <c r="B52" s="12" t="s">
        <v>268</v>
      </c>
      <c r="C52" s="13" t="s">
        <v>52</v>
      </c>
      <c r="D52" s="27" t="s">
        <v>168</v>
      </c>
      <c r="E52" s="12" t="s">
        <v>298</v>
      </c>
      <c r="F52" s="13" t="s">
        <v>299</v>
      </c>
      <c r="G52" s="24"/>
      <c r="H52" s="13" t="s">
        <v>300</v>
      </c>
      <c r="I52" s="24" t="s">
        <v>116</v>
      </c>
      <c r="J52" s="12" t="s">
        <v>110</v>
      </c>
      <c r="K52" s="25" t="s">
        <v>111</v>
      </c>
      <c r="L52" s="26"/>
      <c r="M52" s="26"/>
      <c r="N52" s="26"/>
      <c r="O52" s="26"/>
    </row>
    <row r="53" customFormat="false" ht="29.85" hidden="false" customHeight="false" outlineLevel="0" collapsed="false">
      <c r="A53" s="12" t="s">
        <v>55</v>
      </c>
      <c r="B53" s="12" t="s">
        <v>268</v>
      </c>
      <c r="C53" s="13" t="s">
        <v>52</v>
      </c>
      <c r="D53" s="27" t="s">
        <v>168</v>
      </c>
      <c r="E53" s="12" t="s">
        <v>301</v>
      </c>
      <c r="F53" s="12" t="s">
        <v>302</v>
      </c>
      <c r="G53" s="24" t="s">
        <v>303</v>
      </c>
      <c r="H53" s="12" t="s">
        <v>304</v>
      </c>
      <c r="I53" s="24" t="s">
        <v>151</v>
      </c>
      <c r="J53" s="12" t="s">
        <v>205</v>
      </c>
      <c r="K53" s="25" t="s">
        <v>111</v>
      </c>
      <c r="L53" s="26"/>
      <c r="M53" s="26"/>
      <c r="N53" s="26"/>
      <c r="O53" s="26"/>
    </row>
    <row r="54" customFormat="false" ht="29.85" hidden="false" customHeight="false" outlineLevel="0" collapsed="false">
      <c r="A54" s="12" t="s">
        <v>55</v>
      </c>
      <c r="B54" s="12" t="s">
        <v>268</v>
      </c>
      <c r="C54" s="13" t="s">
        <v>52</v>
      </c>
      <c r="D54" s="28" t="s">
        <v>173</v>
      </c>
      <c r="E54" s="12" t="s">
        <v>305</v>
      </c>
      <c r="F54" s="12" t="s">
        <v>306</v>
      </c>
      <c r="G54" s="24" t="s">
        <v>307</v>
      </c>
      <c r="H54" s="13" t="s">
        <v>308</v>
      </c>
      <c r="I54" s="24"/>
      <c r="J54" s="12" t="s">
        <v>205</v>
      </c>
      <c r="K54" s="25" t="s">
        <v>111</v>
      </c>
      <c r="L54" s="26"/>
      <c r="M54" s="26"/>
      <c r="N54" s="26"/>
      <c r="O54" s="26"/>
    </row>
    <row r="55" customFormat="false" ht="29.85" hidden="false" customHeight="false" outlineLevel="0" collapsed="false">
      <c r="A55" s="12" t="s">
        <v>55</v>
      </c>
      <c r="B55" s="12" t="s">
        <v>268</v>
      </c>
      <c r="C55" s="13" t="s">
        <v>52</v>
      </c>
      <c r="D55" s="29" t="s">
        <v>178</v>
      </c>
      <c r="E55" s="12" t="s">
        <v>309</v>
      </c>
      <c r="F55" s="13" t="s">
        <v>310</v>
      </c>
      <c r="G55" s="24"/>
      <c r="H55" s="12"/>
      <c r="I55" s="24"/>
      <c r="J55" s="12"/>
      <c r="K55" s="25" t="s">
        <v>111</v>
      </c>
      <c r="L55" s="26"/>
      <c r="M55" s="26"/>
      <c r="N55" s="26"/>
      <c r="O55" s="26"/>
    </row>
    <row r="56" customFormat="false" ht="45.75" hidden="false" customHeight="true" outlineLevel="0" collapsed="false">
      <c r="A56" s="30" t="s">
        <v>57</v>
      </c>
      <c r="B56" s="30" t="s">
        <v>311</v>
      </c>
      <c r="C56" s="31" t="s">
        <v>52</v>
      </c>
      <c r="D56" s="31" t="s">
        <v>39</v>
      </c>
      <c r="E56" s="30"/>
      <c r="F56" s="32" t="s">
        <v>312</v>
      </c>
      <c r="G56" s="30"/>
      <c r="H56" s="30"/>
      <c r="I56" s="30"/>
      <c r="J56" s="30"/>
      <c r="K56" s="30"/>
      <c r="L56" s="30"/>
      <c r="M56" s="30"/>
      <c r="N56" s="30"/>
      <c r="O56" s="30"/>
    </row>
    <row r="57" customFormat="false" ht="29.85" hidden="false" customHeight="false" outlineLevel="0" collapsed="false">
      <c r="A57" s="12" t="s">
        <v>57</v>
      </c>
      <c r="B57" s="12" t="s">
        <v>311</v>
      </c>
      <c r="C57" s="13" t="s">
        <v>52</v>
      </c>
      <c r="D57" s="23" t="s">
        <v>104</v>
      </c>
      <c r="E57" s="12" t="s">
        <v>313</v>
      </c>
      <c r="F57" s="13" t="s">
        <v>314</v>
      </c>
      <c r="G57" s="24"/>
      <c r="H57" s="13" t="s">
        <v>136</v>
      </c>
      <c r="I57" s="24" t="s">
        <v>315</v>
      </c>
      <c r="J57" s="12" t="s">
        <v>127</v>
      </c>
      <c r="K57" s="25" t="s">
        <v>111</v>
      </c>
      <c r="L57" s="26"/>
      <c r="M57" s="26"/>
      <c r="N57" s="26"/>
      <c r="O57" s="26"/>
    </row>
    <row r="58" customFormat="false" ht="29.85" hidden="false" customHeight="false" outlineLevel="0" collapsed="false">
      <c r="A58" s="12" t="s">
        <v>57</v>
      </c>
      <c r="B58" s="12" t="s">
        <v>311</v>
      </c>
      <c r="C58" s="13" t="s">
        <v>52</v>
      </c>
      <c r="D58" s="23" t="s">
        <v>104</v>
      </c>
      <c r="E58" s="12" t="s">
        <v>316</v>
      </c>
      <c r="F58" s="12" t="s">
        <v>317</v>
      </c>
      <c r="G58" s="24"/>
      <c r="H58" s="13" t="s">
        <v>318</v>
      </c>
      <c r="I58" s="24" t="s">
        <v>319</v>
      </c>
      <c r="J58" s="12" t="s">
        <v>127</v>
      </c>
      <c r="K58" s="25" t="s">
        <v>111</v>
      </c>
      <c r="L58" s="26"/>
      <c r="M58" s="26"/>
      <c r="N58" s="26"/>
      <c r="O58" s="26"/>
    </row>
    <row r="59" customFormat="false" ht="44" hidden="false" customHeight="false" outlineLevel="0" collapsed="false">
      <c r="A59" s="12" t="s">
        <v>57</v>
      </c>
      <c r="B59" s="12" t="s">
        <v>311</v>
      </c>
      <c r="C59" s="13" t="s">
        <v>52</v>
      </c>
      <c r="D59" s="23" t="s">
        <v>104</v>
      </c>
      <c r="E59" s="12" t="s">
        <v>320</v>
      </c>
      <c r="F59" s="12" t="s">
        <v>321</v>
      </c>
      <c r="G59" s="24" t="s">
        <v>322</v>
      </c>
      <c r="H59" s="13" t="s">
        <v>323</v>
      </c>
      <c r="I59" s="24" t="s">
        <v>324</v>
      </c>
      <c r="J59" s="12" t="s">
        <v>127</v>
      </c>
      <c r="K59" s="25" t="s">
        <v>111</v>
      </c>
      <c r="L59" s="26"/>
      <c r="M59" s="26"/>
      <c r="N59" s="26"/>
      <c r="O59" s="26"/>
    </row>
    <row r="60" customFormat="false" ht="29.85" hidden="false" customHeight="false" outlineLevel="0" collapsed="false">
      <c r="A60" s="12" t="s">
        <v>57</v>
      </c>
      <c r="B60" s="12" t="s">
        <v>311</v>
      </c>
      <c r="C60" s="13" t="s">
        <v>52</v>
      </c>
      <c r="D60" s="23" t="s">
        <v>104</v>
      </c>
      <c r="E60" s="12" t="s">
        <v>325</v>
      </c>
      <c r="F60" s="12" t="s">
        <v>326</v>
      </c>
      <c r="G60" s="24" t="s">
        <v>327</v>
      </c>
      <c r="H60" s="13" t="s">
        <v>328</v>
      </c>
      <c r="I60" s="24" t="s">
        <v>151</v>
      </c>
      <c r="J60" s="12" t="s">
        <v>205</v>
      </c>
      <c r="K60" s="25" t="s">
        <v>111</v>
      </c>
      <c r="L60" s="26"/>
      <c r="M60" s="26"/>
      <c r="N60" s="26"/>
      <c r="O60" s="26"/>
    </row>
    <row r="61" customFormat="false" ht="29.85" hidden="false" customHeight="false" outlineLevel="0" collapsed="false">
      <c r="A61" s="12" t="s">
        <v>57</v>
      </c>
      <c r="B61" s="12" t="s">
        <v>311</v>
      </c>
      <c r="C61" s="13" t="s">
        <v>52</v>
      </c>
      <c r="D61" s="23" t="s">
        <v>104</v>
      </c>
      <c r="E61" s="12" t="s">
        <v>329</v>
      </c>
      <c r="F61" s="12" t="s">
        <v>330</v>
      </c>
      <c r="G61" s="24" t="s">
        <v>331</v>
      </c>
      <c r="H61" s="12" t="s">
        <v>332</v>
      </c>
      <c r="I61" s="24" t="s">
        <v>151</v>
      </c>
      <c r="J61" s="12" t="s">
        <v>205</v>
      </c>
      <c r="K61" s="25" t="s">
        <v>111</v>
      </c>
      <c r="L61" s="26"/>
      <c r="M61" s="26"/>
      <c r="N61" s="26"/>
      <c r="O61" s="26"/>
    </row>
    <row r="62" customFormat="false" ht="41" hidden="false" customHeight="false" outlineLevel="0" collapsed="false">
      <c r="A62" s="12" t="s">
        <v>57</v>
      </c>
      <c r="B62" s="12" t="s">
        <v>311</v>
      </c>
      <c r="C62" s="13" t="s">
        <v>52</v>
      </c>
      <c r="D62" s="23" t="s">
        <v>104</v>
      </c>
      <c r="E62" s="12" t="s">
        <v>333</v>
      </c>
      <c r="F62" s="12" t="s">
        <v>334</v>
      </c>
      <c r="G62" s="24"/>
      <c r="H62" s="13" t="s">
        <v>272</v>
      </c>
      <c r="I62" s="24" t="s">
        <v>319</v>
      </c>
      <c r="J62" s="12" t="s">
        <v>152</v>
      </c>
      <c r="K62" s="25" t="s">
        <v>111</v>
      </c>
      <c r="L62" s="26"/>
      <c r="M62" s="26"/>
      <c r="N62" s="26"/>
      <c r="O62" s="26"/>
    </row>
    <row r="63" customFormat="false" ht="29.85" hidden="false" customHeight="false" outlineLevel="0" collapsed="false">
      <c r="A63" s="12" t="s">
        <v>57</v>
      </c>
      <c r="B63" s="12" t="s">
        <v>311</v>
      </c>
      <c r="C63" s="13" t="s">
        <v>52</v>
      </c>
      <c r="D63" s="23" t="s">
        <v>104</v>
      </c>
      <c r="E63" s="12" t="s">
        <v>335</v>
      </c>
      <c r="F63" s="12" t="s">
        <v>336</v>
      </c>
      <c r="G63" s="24"/>
      <c r="H63" s="13" t="s">
        <v>272</v>
      </c>
      <c r="I63" s="24" t="s">
        <v>337</v>
      </c>
      <c r="J63" s="12" t="s">
        <v>152</v>
      </c>
      <c r="K63" s="25" t="s">
        <v>111</v>
      </c>
      <c r="L63" s="26"/>
      <c r="M63" s="26"/>
      <c r="N63" s="26"/>
      <c r="O63" s="26"/>
    </row>
    <row r="64" customFormat="false" ht="26.85" hidden="false" customHeight="false" outlineLevel="0" collapsed="false">
      <c r="A64" s="12" t="s">
        <v>57</v>
      </c>
      <c r="B64" s="12" t="s">
        <v>311</v>
      </c>
      <c r="C64" s="13" t="s">
        <v>52</v>
      </c>
      <c r="D64" s="23" t="s">
        <v>104</v>
      </c>
      <c r="E64" s="12" t="s">
        <v>338</v>
      </c>
      <c r="F64" s="12" t="s">
        <v>339</v>
      </c>
      <c r="G64" s="24"/>
      <c r="H64" s="12"/>
      <c r="I64" s="24" t="s">
        <v>151</v>
      </c>
      <c r="J64" s="12" t="s">
        <v>205</v>
      </c>
      <c r="K64" s="25" t="s">
        <v>111</v>
      </c>
      <c r="L64" s="26"/>
      <c r="M64" s="26"/>
      <c r="N64" s="26"/>
      <c r="O64" s="26"/>
    </row>
    <row r="65" customFormat="false" ht="41" hidden="false" customHeight="false" outlineLevel="0" collapsed="false">
      <c r="A65" s="12" t="s">
        <v>57</v>
      </c>
      <c r="B65" s="12" t="s">
        <v>311</v>
      </c>
      <c r="C65" s="13" t="s">
        <v>52</v>
      </c>
      <c r="D65" s="27" t="s">
        <v>168</v>
      </c>
      <c r="E65" s="12" t="s">
        <v>340</v>
      </c>
      <c r="F65" s="12" t="s">
        <v>341</v>
      </c>
      <c r="G65" s="24" t="s">
        <v>342</v>
      </c>
      <c r="H65" s="12"/>
      <c r="I65" s="24" t="s">
        <v>151</v>
      </c>
      <c r="J65" s="12" t="s">
        <v>205</v>
      </c>
      <c r="K65" s="25" t="s">
        <v>111</v>
      </c>
      <c r="L65" s="26"/>
      <c r="M65" s="26"/>
      <c r="N65" s="26"/>
      <c r="O65" s="26"/>
    </row>
    <row r="66" customFormat="false" ht="29.85" hidden="false" customHeight="false" outlineLevel="0" collapsed="false">
      <c r="A66" s="12" t="s">
        <v>57</v>
      </c>
      <c r="B66" s="12" t="s">
        <v>311</v>
      </c>
      <c r="C66" s="13" t="s">
        <v>52</v>
      </c>
      <c r="D66" s="27" t="s">
        <v>168</v>
      </c>
      <c r="E66" s="12" t="s">
        <v>343</v>
      </c>
      <c r="F66" s="12" t="s">
        <v>344</v>
      </c>
      <c r="G66" s="24" t="s">
        <v>345</v>
      </c>
      <c r="H66" s="12" t="s">
        <v>346</v>
      </c>
      <c r="I66" s="24"/>
      <c r="J66" s="12" t="s">
        <v>205</v>
      </c>
      <c r="K66" s="25" t="s">
        <v>111</v>
      </c>
      <c r="L66" s="26"/>
      <c r="M66" s="26"/>
      <c r="N66" s="26"/>
      <c r="O66" s="26"/>
    </row>
    <row r="67" customFormat="false" ht="26.85" hidden="false" customHeight="false" outlineLevel="0" collapsed="false">
      <c r="A67" s="12" t="s">
        <v>57</v>
      </c>
      <c r="B67" s="12" t="s">
        <v>311</v>
      </c>
      <c r="C67" s="13" t="s">
        <v>52</v>
      </c>
      <c r="D67" s="27" t="s">
        <v>168</v>
      </c>
      <c r="E67" s="12" t="s">
        <v>347</v>
      </c>
      <c r="F67" s="13" t="s">
        <v>348</v>
      </c>
      <c r="G67" s="24" t="s">
        <v>349</v>
      </c>
      <c r="H67" s="12"/>
      <c r="I67" s="24" t="s">
        <v>151</v>
      </c>
      <c r="J67" s="12" t="s">
        <v>205</v>
      </c>
      <c r="K67" s="25" t="s">
        <v>111</v>
      </c>
      <c r="L67" s="26"/>
      <c r="M67" s="26"/>
      <c r="N67" s="26"/>
      <c r="O67" s="26"/>
    </row>
    <row r="68" customFormat="false" ht="29.85" hidden="false" customHeight="false" outlineLevel="0" collapsed="false">
      <c r="A68" s="12" t="s">
        <v>57</v>
      </c>
      <c r="B68" s="12" t="s">
        <v>311</v>
      </c>
      <c r="C68" s="13" t="s">
        <v>52</v>
      </c>
      <c r="D68" s="28" t="s">
        <v>173</v>
      </c>
      <c r="E68" s="12" t="s">
        <v>350</v>
      </c>
      <c r="F68" s="13" t="s">
        <v>351</v>
      </c>
      <c r="G68" s="24" t="s">
        <v>352</v>
      </c>
      <c r="H68" s="12" t="s">
        <v>353</v>
      </c>
      <c r="I68" s="24"/>
      <c r="J68" s="12" t="s">
        <v>205</v>
      </c>
      <c r="K68" s="25" t="s">
        <v>111</v>
      </c>
      <c r="L68" s="26"/>
      <c r="M68" s="26"/>
      <c r="N68" s="26"/>
      <c r="O68" s="26"/>
    </row>
    <row r="69" customFormat="false" ht="29.85" hidden="false" customHeight="false" outlineLevel="0" collapsed="false">
      <c r="A69" s="12" t="s">
        <v>57</v>
      </c>
      <c r="B69" s="12" t="s">
        <v>311</v>
      </c>
      <c r="C69" s="13" t="s">
        <v>52</v>
      </c>
      <c r="D69" s="28" t="s">
        <v>173</v>
      </c>
      <c r="E69" s="12" t="s">
        <v>354</v>
      </c>
      <c r="F69" s="12" t="s">
        <v>355</v>
      </c>
      <c r="G69" s="24" t="s">
        <v>356</v>
      </c>
      <c r="H69" s="13" t="s">
        <v>357</v>
      </c>
      <c r="I69" s="24"/>
      <c r="J69" s="12" t="s">
        <v>205</v>
      </c>
      <c r="K69" s="25" t="s">
        <v>111</v>
      </c>
      <c r="L69" s="26"/>
      <c r="M69" s="26"/>
      <c r="N69" s="26"/>
      <c r="O69" s="26"/>
    </row>
    <row r="70" customFormat="false" ht="29.85" hidden="false" customHeight="false" outlineLevel="0" collapsed="false">
      <c r="A70" s="12" t="s">
        <v>57</v>
      </c>
      <c r="B70" s="12" t="s">
        <v>311</v>
      </c>
      <c r="C70" s="13" t="s">
        <v>52</v>
      </c>
      <c r="D70" s="28" t="s">
        <v>173</v>
      </c>
      <c r="E70" s="12" t="s">
        <v>358</v>
      </c>
      <c r="F70" s="13" t="s">
        <v>359</v>
      </c>
      <c r="G70" s="24"/>
      <c r="H70" s="13" t="s">
        <v>360</v>
      </c>
      <c r="I70" s="24"/>
      <c r="J70" s="12" t="s">
        <v>127</v>
      </c>
      <c r="K70" s="25" t="s">
        <v>111</v>
      </c>
      <c r="L70" s="26"/>
      <c r="M70" s="26"/>
      <c r="N70" s="26"/>
      <c r="O70" s="26"/>
    </row>
    <row r="71" customFormat="false" ht="29.85" hidden="false" customHeight="false" outlineLevel="0" collapsed="false">
      <c r="A71" s="12" t="s">
        <v>57</v>
      </c>
      <c r="B71" s="12" t="s">
        <v>311</v>
      </c>
      <c r="C71" s="13" t="s">
        <v>52</v>
      </c>
      <c r="D71" s="29" t="s">
        <v>178</v>
      </c>
      <c r="E71" s="12" t="s">
        <v>361</v>
      </c>
      <c r="F71" s="13" t="s">
        <v>362</v>
      </c>
      <c r="G71" s="24"/>
      <c r="H71" s="12"/>
      <c r="I71" s="24" t="s">
        <v>363</v>
      </c>
      <c r="J71" s="12" t="s">
        <v>205</v>
      </c>
      <c r="K71" s="25" t="s">
        <v>111</v>
      </c>
      <c r="L71" s="26"/>
      <c r="M71" s="26"/>
      <c r="N71" s="26"/>
      <c r="O71" s="26"/>
    </row>
    <row r="72" customFormat="false" ht="29.85" hidden="false" customHeight="false" outlineLevel="0" collapsed="false">
      <c r="A72" s="12" t="s">
        <v>57</v>
      </c>
      <c r="B72" s="12" t="s">
        <v>311</v>
      </c>
      <c r="C72" s="13" t="s">
        <v>52</v>
      </c>
      <c r="D72" s="29" t="s">
        <v>178</v>
      </c>
      <c r="E72" s="12" t="s">
        <v>364</v>
      </c>
      <c r="F72" s="34" t="s">
        <v>365</v>
      </c>
      <c r="G72" s="24"/>
      <c r="H72" s="12"/>
      <c r="I72" s="24"/>
      <c r="J72" s="12" t="s">
        <v>177</v>
      </c>
      <c r="K72" s="25" t="s">
        <v>111</v>
      </c>
      <c r="L72" s="26"/>
      <c r="M72" s="26"/>
      <c r="N72" s="26"/>
      <c r="O72" s="26"/>
    </row>
    <row r="73" customFormat="false" ht="45.75" hidden="false" customHeight="true" outlineLevel="0" collapsed="false">
      <c r="A73" s="30" t="s">
        <v>59</v>
      </c>
      <c r="B73" s="30" t="s">
        <v>366</v>
      </c>
      <c r="C73" s="31" t="s">
        <v>52</v>
      </c>
      <c r="D73" s="31" t="s">
        <v>39</v>
      </c>
      <c r="E73" s="30"/>
      <c r="F73" s="32" t="s">
        <v>367</v>
      </c>
      <c r="G73" s="30"/>
      <c r="H73" s="30"/>
      <c r="I73" s="30"/>
      <c r="J73" s="30"/>
      <c r="K73" s="30"/>
      <c r="L73" s="30"/>
      <c r="M73" s="30"/>
      <c r="N73" s="30"/>
      <c r="O73" s="30"/>
    </row>
    <row r="74" customFormat="false" ht="29.85" hidden="false" customHeight="false" outlineLevel="0" collapsed="false">
      <c r="A74" s="12" t="s">
        <v>59</v>
      </c>
      <c r="B74" s="12" t="s">
        <v>366</v>
      </c>
      <c r="C74" s="13" t="s">
        <v>52</v>
      </c>
      <c r="D74" s="23" t="s">
        <v>104</v>
      </c>
      <c r="E74" s="12" t="s">
        <v>368</v>
      </c>
      <c r="F74" s="12" t="s">
        <v>369</v>
      </c>
      <c r="G74" s="24"/>
      <c r="H74" s="13" t="s">
        <v>318</v>
      </c>
      <c r="I74" s="24" t="s">
        <v>370</v>
      </c>
      <c r="J74" s="12" t="s">
        <v>205</v>
      </c>
      <c r="K74" s="25" t="s">
        <v>111</v>
      </c>
      <c r="L74" s="26"/>
      <c r="M74" s="26"/>
      <c r="N74" s="26"/>
      <c r="O74" s="26"/>
    </row>
    <row r="75" customFormat="false" ht="15" hidden="false" customHeight="false" outlineLevel="0" collapsed="false">
      <c r="A75" s="12" t="s">
        <v>59</v>
      </c>
      <c r="B75" s="12" t="s">
        <v>366</v>
      </c>
      <c r="C75" s="13" t="s">
        <v>52</v>
      </c>
      <c r="D75" s="23" t="s">
        <v>104</v>
      </c>
      <c r="E75" s="12" t="s">
        <v>371</v>
      </c>
      <c r="F75" s="12" t="s">
        <v>372</v>
      </c>
      <c r="G75" s="24" t="s">
        <v>373</v>
      </c>
      <c r="H75" s="13" t="s">
        <v>374</v>
      </c>
      <c r="I75" s="24"/>
      <c r="J75" s="12" t="s">
        <v>110</v>
      </c>
      <c r="K75" s="25" t="s">
        <v>111</v>
      </c>
      <c r="L75" s="26"/>
      <c r="M75" s="26"/>
      <c r="N75" s="26"/>
      <c r="O75" s="26"/>
    </row>
    <row r="76" customFormat="false" ht="26.85" hidden="false" customHeight="false" outlineLevel="0" collapsed="false">
      <c r="A76" s="12" t="s">
        <v>59</v>
      </c>
      <c r="B76" s="12" t="s">
        <v>366</v>
      </c>
      <c r="C76" s="13" t="s">
        <v>52</v>
      </c>
      <c r="D76" s="23" t="s">
        <v>104</v>
      </c>
      <c r="E76" s="12" t="s">
        <v>375</v>
      </c>
      <c r="F76" s="13" t="s">
        <v>376</v>
      </c>
      <c r="G76" s="24" t="s">
        <v>377</v>
      </c>
      <c r="H76" s="13" t="s">
        <v>378</v>
      </c>
      <c r="I76" s="24" t="s">
        <v>379</v>
      </c>
      <c r="J76" s="12" t="s">
        <v>205</v>
      </c>
      <c r="K76" s="25" t="s">
        <v>111</v>
      </c>
      <c r="L76" s="26"/>
      <c r="M76" s="26"/>
      <c r="N76" s="26"/>
      <c r="O76" s="26"/>
    </row>
    <row r="77" customFormat="false" ht="38.05" hidden="false" customHeight="false" outlineLevel="0" collapsed="false">
      <c r="A77" s="12" t="s">
        <v>59</v>
      </c>
      <c r="B77" s="12" t="s">
        <v>366</v>
      </c>
      <c r="C77" s="13" t="s">
        <v>52</v>
      </c>
      <c r="D77" s="27" t="s">
        <v>168</v>
      </c>
      <c r="E77" s="12" t="s">
        <v>380</v>
      </c>
      <c r="F77" s="12" t="s">
        <v>381</v>
      </c>
      <c r="G77" s="24" t="s">
        <v>382</v>
      </c>
      <c r="H77" s="12" t="s">
        <v>383</v>
      </c>
      <c r="I77" s="24" t="s">
        <v>379</v>
      </c>
      <c r="J77" s="12" t="s">
        <v>205</v>
      </c>
      <c r="K77" s="25" t="s">
        <v>111</v>
      </c>
      <c r="L77" s="26"/>
      <c r="M77" s="26"/>
      <c r="N77" s="26"/>
      <c r="O77" s="26"/>
    </row>
    <row r="78" customFormat="false" ht="15" hidden="false" customHeight="false" outlineLevel="0" collapsed="false">
      <c r="A78" s="12" t="s">
        <v>59</v>
      </c>
      <c r="B78" s="12" t="s">
        <v>366</v>
      </c>
      <c r="C78" s="13" t="s">
        <v>52</v>
      </c>
      <c r="D78" s="27" t="s">
        <v>168</v>
      </c>
      <c r="E78" s="12" t="s">
        <v>384</v>
      </c>
      <c r="F78" s="13" t="s">
        <v>385</v>
      </c>
      <c r="G78" s="24" t="s">
        <v>386</v>
      </c>
      <c r="H78" s="12"/>
      <c r="I78" s="24" t="s">
        <v>151</v>
      </c>
      <c r="J78" s="12" t="s">
        <v>205</v>
      </c>
      <c r="K78" s="25" t="s">
        <v>111</v>
      </c>
      <c r="L78" s="26"/>
      <c r="M78" s="26"/>
      <c r="N78" s="26"/>
      <c r="O78" s="26"/>
    </row>
    <row r="79" customFormat="false" ht="29.85" hidden="false" customHeight="false" outlineLevel="0" collapsed="false">
      <c r="A79" s="12" t="s">
        <v>59</v>
      </c>
      <c r="B79" s="12" t="s">
        <v>366</v>
      </c>
      <c r="C79" s="13" t="s">
        <v>52</v>
      </c>
      <c r="D79" s="28" t="s">
        <v>173</v>
      </c>
      <c r="E79" s="12" t="s">
        <v>387</v>
      </c>
      <c r="F79" s="12" t="s">
        <v>388</v>
      </c>
      <c r="G79" s="24" t="s">
        <v>389</v>
      </c>
      <c r="H79" s="12" t="s">
        <v>390</v>
      </c>
      <c r="I79" s="24" t="s">
        <v>151</v>
      </c>
      <c r="J79" s="12" t="s">
        <v>205</v>
      </c>
      <c r="K79" s="25" t="s">
        <v>111</v>
      </c>
      <c r="L79" s="26"/>
      <c r="M79" s="26"/>
      <c r="N79" s="26"/>
      <c r="O79" s="26"/>
    </row>
    <row r="80" customFormat="false" ht="15" hidden="false" customHeight="false" outlineLevel="0" collapsed="false">
      <c r="A80" s="12" t="s">
        <v>59</v>
      </c>
      <c r="B80" s="12" t="s">
        <v>366</v>
      </c>
      <c r="C80" s="13" t="s">
        <v>52</v>
      </c>
      <c r="D80" s="28" t="s">
        <v>173</v>
      </c>
      <c r="E80" s="12" t="s">
        <v>391</v>
      </c>
      <c r="F80" s="13" t="s">
        <v>392</v>
      </c>
      <c r="G80" s="24"/>
      <c r="H80" s="13" t="s">
        <v>393</v>
      </c>
      <c r="I80" s="24" t="s">
        <v>151</v>
      </c>
      <c r="J80" s="12" t="s">
        <v>110</v>
      </c>
      <c r="K80" s="25" t="s">
        <v>111</v>
      </c>
      <c r="L80" s="26"/>
      <c r="M80" s="26"/>
      <c r="N80" s="26"/>
      <c r="O80" s="26"/>
    </row>
    <row r="81" customFormat="false" ht="29.85" hidden="false" customHeight="false" outlineLevel="0" collapsed="false">
      <c r="A81" s="12" t="s">
        <v>59</v>
      </c>
      <c r="B81" s="12" t="s">
        <v>366</v>
      </c>
      <c r="C81" s="13" t="s">
        <v>52</v>
      </c>
      <c r="D81" s="29" t="s">
        <v>178</v>
      </c>
      <c r="E81" s="12" t="s">
        <v>394</v>
      </c>
      <c r="F81" s="12" t="s">
        <v>395</v>
      </c>
      <c r="G81" s="24"/>
      <c r="H81" s="12"/>
      <c r="I81" s="24" t="s">
        <v>396</v>
      </c>
      <c r="J81" s="12" t="s">
        <v>205</v>
      </c>
      <c r="K81" s="25" t="s">
        <v>111</v>
      </c>
      <c r="L81" s="26"/>
      <c r="M81" s="26"/>
      <c r="N81" s="26"/>
      <c r="O81" s="26"/>
    </row>
    <row r="82" customFormat="false" ht="45.75" hidden="false" customHeight="true" outlineLevel="0" collapsed="false">
      <c r="A82" s="30" t="s">
        <v>61</v>
      </c>
      <c r="B82" s="30" t="s">
        <v>397</v>
      </c>
      <c r="C82" s="31" t="s">
        <v>52</v>
      </c>
      <c r="D82" s="31" t="s">
        <v>39</v>
      </c>
      <c r="E82" s="30"/>
      <c r="F82" s="32" t="s">
        <v>398</v>
      </c>
      <c r="G82" s="30"/>
      <c r="H82" s="30"/>
      <c r="I82" s="30"/>
      <c r="J82" s="30"/>
      <c r="K82" s="30"/>
      <c r="L82" s="30"/>
      <c r="M82" s="30"/>
      <c r="N82" s="30"/>
      <c r="O82" s="30"/>
    </row>
    <row r="83" customFormat="false" ht="29.85" hidden="false" customHeight="false" outlineLevel="0" collapsed="false">
      <c r="A83" s="12" t="s">
        <v>61</v>
      </c>
      <c r="B83" s="12" t="s">
        <v>397</v>
      </c>
      <c r="C83" s="13" t="s">
        <v>52</v>
      </c>
      <c r="D83" s="23" t="s">
        <v>104</v>
      </c>
      <c r="E83" s="12" t="s">
        <v>399</v>
      </c>
      <c r="F83" s="12" t="s">
        <v>400</v>
      </c>
      <c r="G83" s="24" t="s">
        <v>401</v>
      </c>
      <c r="H83" s="13" t="s">
        <v>402</v>
      </c>
      <c r="I83" s="24" t="s">
        <v>403</v>
      </c>
      <c r="J83" s="12" t="s">
        <v>205</v>
      </c>
      <c r="K83" s="25" t="s">
        <v>111</v>
      </c>
      <c r="L83" s="26"/>
      <c r="M83" s="26"/>
      <c r="N83" s="26"/>
      <c r="O83" s="26"/>
    </row>
    <row r="84" customFormat="false" ht="29.85" hidden="false" customHeight="false" outlineLevel="0" collapsed="false">
      <c r="A84" s="12" t="s">
        <v>61</v>
      </c>
      <c r="B84" s="12" t="s">
        <v>397</v>
      </c>
      <c r="C84" s="13" t="s">
        <v>52</v>
      </c>
      <c r="D84" s="23" t="s">
        <v>104</v>
      </c>
      <c r="E84" s="12" t="s">
        <v>404</v>
      </c>
      <c r="F84" s="12" t="s">
        <v>405</v>
      </c>
      <c r="G84" s="24" t="s">
        <v>377</v>
      </c>
      <c r="H84" s="12" t="s">
        <v>265</v>
      </c>
      <c r="I84" s="24" t="s">
        <v>151</v>
      </c>
      <c r="J84" s="12" t="s">
        <v>205</v>
      </c>
      <c r="K84" s="25" t="s">
        <v>111</v>
      </c>
      <c r="L84" s="26"/>
      <c r="M84" s="26"/>
      <c r="N84" s="26"/>
      <c r="O84" s="26"/>
    </row>
    <row r="85" customFormat="false" ht="29.85" hidden="false" customHeight="false" outlineLevel="0" collapsed="false">
      <c r="A85" s="12" t="s">
        <v>61</v>
      </c>
      <c r="B85" s="12" t="s">
        <v>397</v>
      </c>
      <c r="C85" s="13" t="s">
        <v>52</v>
      </c>
      <c r="D85" s="23" t="s">
        <v>104</v>
      </c>
      <c r="E85" s="12" t="s">
        <v>406</v>
      </c>
      <c r="F85" s="12" t="s">
        <v>407</v>
      </c>
      <c r="G85" s="24"/>
      <c r="H85" s="12" t="s">
        <v>408</v>
      </c>
      <c r="I85" s="24" t="s">
        <v>121</v>
      </c>
      <c r="J85" s="12" t="s">
        <v>143</v>
      </c>
      <c r="K85" s="25" t="s">
        <v>111</v>
      </c>
      <c r="L85" s="26"/>
      <c r="M85" s="26"/>
      <c r="N85" s="26"/>
      <c r="O85" s="26"/>
    </row>
    <row r="86" customFormat="false" ht="72.35" hidden="false" customHeight="false" outlineLevel="0" collapsed="false">
      <c r="A86" s="12" t="s">
        <v>61</v>
      </c>
      <c r="B86" s="12" t="s">
        <v>397</v>
      </c>
      <c r="C86" s="13" t="s">
        <v>52</v>
      </c>
      <c r="D86" s="23" t="s">
        <v>104</v>
      </c>
      <c r="E86" s="12" t="s">
        <v>409</v>
      </c>
      <c r="F86" s="13" t="s">
        <v>410</v>
      </c>
      <c r="G86" s="24" t="s">
        <v>411</v>
      </c>
      <c r="H86" s="12" t="s">
        <v>412</v>
      </c>
      <c r="I86" s="24" t="s">
        <v>413</v>
      </c>
      <c r="J86" s="12" t="s">
        <v>205</v>
      </c>
      <c r="K86" s="25" t="s">
        <v>111</v>
      </c>
      <c r="L86" s="26"/>
      <c r="M86" s="26"/>
      <c r="N86" s="26"/>
      <c r="O86" s="26"/>
    </row>
    <row r="87" customFormat="false" ht="29.85" hidden="false" customHeight="false" outlineLevel="0" collapsed="false">
      <c r="A87" s="12" t="s">
        <v>61</v>
      </c>
      <c r="B87" s="12" t="s">
        <v>397</v>
      </c>
      <c r="C87" s="13" t="s">
        <v>52</v>
      </c>
      <c r="D87" s="23" t="s">
        <v>104</v>
      </c>
      <c r="E87" s="12" t="s">
        <v>414</v>
      </c>
      <c r="F87" s="13" t="s">
        <v>415</v>
      </c>
      <c r="G87" s="24"/>
      <c r="H87" s="13" t="s">
        <v>416</v>
      </c>
      <c r="I87" s="24" t="s">
        <v>151</v>
      </c>
      <c r="J87" s="12" t="s">
        <v>177</v>
      </c>
      <c r="K87" s="25" t="s">
        <v>111</v>
      </c>
      <c r="L87" s="26"/>
      <c r="M87" s="26"/>
      <c r="N87" s="26"/>
      <c r="O87" s="26"/>
    </row>
    <row r="88" customFormat="false" ht="29.85" hidden="false" customHeight="false" outlineLevel="0" collapsed="false">
      <c r="A88" s="12" t="s">
        <v>61</v>
      </c>
      <c r="B88" s="12" t="s">
        <v>397</v>
      </c>
      <c r="C88" s="13" t="s">
        <v>52</v>
      </c>
      <c r="D88" s="23" t="s">
        <v>104</v>
      </c>
      <c r="E88" s="12" t="s">
        <v>417</v>
      </c>
      <c r="F88" s="13" t="s">
        <v>418</v>
      </c>
      <c r="G88" s="24"/>
      <c r="H88" s="13" t="s">
        <v>150</v>
      </c>
      <c r="I88" s="24" t="s">
        <v>151</v>
      </c>
      <c r="J88" s="12" t="s">
        <v>152</v>
      </c>
      <c r="K88" s="25" t="s">
        <v>111</v>
      </c>
      <c r="L88" s="26"/>
      <c r="M88" s="26"/>
      <c r="N88" s="26"/>
      <c r="O88" s="26"/>
    </row>
    <row r="89" customFormat="false" ht="29.85" hidden="false" customHeight="false" outlineLevel="0" collapsed="false">
      <c r="A89" s="12" t="s">
        <v>61</v>
      </c>
      <c r="B89" s="12" t="s">
        <v>397</v>
      </c>
      <c r="C89" s="13" t="s">
        <v>52</v>
      </c>
      <c r="D89" s="23" t="s">
        <v>104</v>
      </c>
      <c r="E89" s="12" t="s">
        <v>419</v>
      </c>
      <c r="F89" s="12" t="s">
        <v>420</v>
      </c>
      <c r="G89" s="24" t="s">
        <v>421</v>
      </c>
      <c r="H89" s="13" t="s">
        <v>422</v>
      </c>
      <c r="I89" s="24" t="s">
        <v>423</v>
      </c>
      <c r="J89" s="12" t="s">
        <v>110</v>
      </c>
      <c r="K89" s="25" t="s">
        <v>111</v>
      </c>
      <c r="L89" s="26"/>
      <c r="M89" s="26"/>
      <c r="N89" s="26"/>
      <c r="O89" s="26"/>
    </row>
    <row r="90" customFormat="false" ht="29.85" hidden="false" customHeight="false" outlineLevel="0" collapsed="false">
      <c r="A90" s="12" t="s">
        <v>61</v>
      </c>
      <c r="B90" s="12" t="s">
        <v>397</v>
      </c>
      <c r="C90" s="13" t="s">
        <v>52</v>
      </c>
      <c r="D90" s="23" t="s">
        <v>104</v>
      </c>
      <c r="E90" s="12" t="s">
        <v>424</v>
      </c>
      <c r="F90" s="13" t="s">
        <v>425</v>
      </c>
      <c r="G90" s="24"/>
      <c r="H90" s="12"/>
      <c r="I90" s="24" t="s">
        <v>121</v>
      </c>
      <c r="J90" s="12" t="s">
        <v>110</v>
      </c>
      <c r="K90" s="25" t="s">
        <v>111</v>
      </c>
      <c r="L90" s="26"/>
      <c r="M90" s="26"/>
      <c r="N90" s="26"/>
      <c r="O90" s="26"/>
    </row>
    <row r="91" customFormat="false" ht="29.85" hidden="false" customHeight="false" outlineLevel="0" collapsed="false">
      <c r="A91" s="12" t="s">
        <v>61</v>
      </c>
      <c r="B91" s="12" t="s">
        <v>397</v>
      </c>
      <c r="C91" s="13" t="s">
        <v>52</v>
      </c>
      <c r="D91" s="23" t="s">
        <v>104</v>
      </c>
      <c r="E91" s="12" t="s">
        <v>426</v>
      </c>
      <c r="F91" s="13" t="s">
        <v>427</v>
      </c>
      <c r="G91" s="24"/>
      <c r="H91" s="12"/>
      <c r="I91" s="24" t="s">
        <v>151</v>
      </c>
      <c r="J91" s="12" t="s">
        <v>205</v>
      </c>
      <c r="K91" s="25" t="s">
        <v>111</v>
      </c>
      <c r="L91" s="26"/>
      <c r="M91" s="26"/>
      <c r="N91" s="26"/>
      <c r="O91" s="26"/>
    </row>
    <row r="92" customFormat="false" ht="29.85" hidden="false" customHeight="false" outlineLevel="0" collapsed="false">
      <c r="A92" s="12" t="s">
        <v>61</v>
      </c>
      <c r="B92" s="12" t="s">
        <v>397</v>
      </c>
      <c r="C92" s="13" t="s">
        <v>52</v>
      </c>
      <c r="D92" s="27" t="s">
        <v>168</v>
      </c>
      <c r="E92" s="12" t="s">
        <v>428</v>
      </c>
      <c r="F92" s="12" t="s">
        <v>429</v>
      </c>
      <c r="G92" s="24" t="s">
        <v>401</v>
      </c>
      <c r="H92" s="12" t="s">
        <v>430</v>
      </c>
      <c r="I92" s="24" t="s">
        <v>151</v>
      </c>
      <c r="J92" s="12" t="s">
        <v>205</v>
      </c>
      <c r="K92" s="25" t="s">
        <v>111</v>
      </c>
      <c r="L92" s="26"/>
      <c r="M92" s="26"/>
      <c r="N92" s="26"/>
      <c r="O92" s="26"/>
    </row>
    <row r="93" customFormat="false" ht="44" hidden="false" customHeight="false" outlineLevel="0" collapsed="false">
      <c r="A93" s="12" t="s">
        <v>61</v>
      </c>
      <c r="B93" s="12" t="s">
        <v>397</v>
      </c>
      <c r="C93" s="13" t="s">
        <v>52</v>
      </c>
      <c r="D93" s="27" t="s">
        <v>168</v>
      </c>
      <c r="E93" s="12" t="s">
        <v>431</v>
      </c>
      <c r="F93" s="12" t="s">
        <v>432</v>
      </c>
      <c r="G93" s="24" t="s">
        <v>401</v>
      </c>
      <c r="H93" s="12" t="s">
        <v>433</v>
      </c>
      <c r="I93" s="24" t="s">
        <v>434</v>
      </c>
      <c r="J93" s="12" t="s">
        <v>205</v>
      </c>
      <c r="K93" s="25" t="s">
        <v>111</v>
      </c>
      <c r="L93" s="26"/>
      <c r="M93" s="26"/>
      <c r="N93" s="26"/>
      <c r="O93" s="26"/>
    </row>
    <row r="94" customFormat="false" ht="29.85" hidden="false" customHeight="false" outlineLevel="0" collapsed="false">
      <c r="A94" s="12" t="s">
        <v>61</v>
      </c>
      <c r="B94" s="12" t="s">
        <v>397</v>
      </c>
      <c r="C94" s="13" t="s">
        <v>52</v>
      </c>
      <c r="D94" s="27" t="s">
        <v>168</v>
      </c>
      <c r="E94" s="12" t="s">
        <v>435</v>
      </c>
      <c r="F94" s="13" t="s">
        <v>436</v>
      </c>
      <c r="G94" s="24" t="s">
        <v>437</v>
      </c>
      <c r="H94" s="12"/>
      <c r="I94" s="24" t="s">
        <v>151</v>
      </c>
      <c r="J94" s="12" t="s">
        <v>205</v>
      </c>
      <c r="K94" s="25" t="s">
        <v>111</v>
      </c>
      <c r="L94" s="26"/>
      <c r="M94" s="26"/>
      <c r="N94" s="26"/>
      <c r="O94" s="26"/>
    </row>
    <row r="95" customFormat="false" ht="29.85" hidden="false" customHeight="false" outlineLevel="0" collapsed="false">
      <c r="A95" s="12" t="s">
        <v>61</v>
      </c>
      <c r="B95" s="12" t="s">
        <v>397</v>
      </c>
      <c r="C95" s="13" t="s">
        <v>52</v>
      </c>
      <c r="D95" s="28" t="s">
        <v>173</v>
      </c>
      <c r="E95" s="12" t="s">
        <v>438</v>
      </c>
      <c r="F95" s="12" t="s">
        <v>439</v>
      </c>
      <c r="G95" s="24" t="s">
        <v>440</v>
      </c>
      <c r="H95" s="12" t="s">
        <v>265</v>
      </c>
      <c r="I95" s="24"/>
      <c r="J95" s="12" t="s">
        <v>110</v>
      </c>
      <c r="K95" s="25" t="s">
        <v>111</v>
      </c>
      <c r="L95" s="26"/>
      <c r="M95" s="26"/>
      <c r="N95" s="26"/>
      <c r="O95" s="26"/>
    </row>
    <row r="96" customFormat="false" ht="29.85" hidden="false" customHeight="false" outlineLevel="0" collapsed="false">
      <c r="A96" s="12" t="s">
        <v>61</v>
      </c>
      <c r="B96" s="12" t="s">
        <v>397</v>
      </c>
      <c r="C96" s="13" t="s">
        <v>52</v>
      </c>
      <c r="D96" s="28" t="s">
        <v>173</v>
      </c>
      <c r="E96" s="12" t="s">
        <v>441</v>
      </c>
      <c r="F96" s="12" t="s">
        <v>442</v>
      </c>
      <c r="G96" s="24"/>
      <c r="H96" s="13" t="s">
        <v>238</v>
      </c>
      <c r="I96" s="24"/>
      <c r="J96" s="12" t="s">
        <v>110</v>
      </c>
      <c r="K96" s="25" t="s">
        <v>111</v>
      </c>
      <c r="L96" s="26"/>
      <c r="M96" s="26"/>
      <c r="N96" s="26"/>
      <c r="O96" s="26"/>
    </row>
    <row r="97" customFormat="false" ht="58.2" hidden="false" customHeight="false" outlineLevel="0" collapsed="false">
      <c r="A97" s="12" t="s">
        <v>61</v>
      </c>
      <c r="B97" s="12" t="s">
        <v>397</v>
      </c>
      <c r="C97" s="13" t="s">
        <v>52</v>
      </c>
      <c r="D97" s="28" t="s">
        <v>173</v>
      </c>
      <c r="E97" s="12" t="s">
        <v>443</v>
      </c>
      <c r="F97" s="13" t="s">
        <v>444</v>
      </c>
      <c r="G97" s="24" t="s">
        <v>445</v>
      </c>
      <c r="H97" s="12"/>
      <c r="I97" s="24" t="s">
        <v>151</v>
      </c>
      <c r="J97" s="12" t="s">
        <v>205</v>
      </c>
      <c r="K97" s="25" t="s">
        <v>111</v>
      </c>
      <c r="L97" s="26"/>
      <c r="M97" s="26"/>
      <c r="N97" s="26"/>
      <c r="O97" s="26"/>
    </row>
    <row r="98" customFormat="false" ht="29.85" hidden="false" customHeight="false" outlineLevel="0" collapsed="false">
      <c r="A98" s="12" t="s">
        <v>61</v>
      </c>
      <c r="B98" s="12" t="s">
        <v>397</v>
      </c>
      <c r="C98" s="13" t="s">
        <v>52</v>
      </c>
      <c r="D98" s="29" t="s">
        <v>178</v>
      </c>
      <c r="E98" s="12" t="s">
        <v>446</v>
      </c>
      <c r="F98" s="12" t="s">
        <v>447</v>
      </c>
      <c r="G98" s="24"/>
      <c r="H98" s="12"/>
      <c r="I98" s="24"/>
      <c r="J98" s="12" t="s">
        <v>205</v>
      </c>
      <c r="K98" s="25" t="s">
        <v>111</v>
      </c>
      <c r="L98" s="26"/>
      <c r="M98" s="26"/>
      <c r="N98" s="26"/>
      <c r="O98" s="26"/>
    </row>
    <row r="99" customFormat="false" ht="44" hidden="false" customHeight="false" outlineLevel="0" collapsed="false">
      <c r="A99" s="12" t="s">
        <v>61</v>
      </c>
      <c r="B99" s="12" t="s">
        <v>397</v>
      </c>
      <c r="C99" s="13" t="s">
        <v>52</v>
      </c>
      <c r="D99" s="29" t="s">
        <v>178</v>
      </c>
      <c r="E99" s="12" t="s">
        <v>448</v>
      </c>
      <c r="F99" s="13" t="s">
        <v>449</v>
      </c>
      <c r="G99" s="24" t="s">
        <v>450</v>
      </c>
      <c r="H99" s="12" t="s">
        <v>451</v>
      </c>
      <c r="I99" s="24" t="s">
        <v>151</v>
      </c>
      <c r="J99" s="12" t="s">
        <v>205</v>
      </c>
      <c r="K99" s="25" t="s">
        <v>111</v>
      </c>
      <c r="L99" s="26"/>
      <c r="M99" s="26"/>
      <c r="N99" s="26"/>
      <c r="O99" s="26"/>
    </row>
    <row r="100" customFormat="false" ht="29.85" hidden="false" customHeight="false" outlineLevel="0" collapsed="false">
      <c r="A100" s="12" t="s">
        <v>61</v>
      </c>
      <c r="B100" s="12" t="s">
        <v>397</v>
      </c>
      <c r="C100" s="13" t="s">
        <v>52</v>
      </c>
      <c r="D100" s="29" t="s">
        <v>178</v>
      </c>
      <c r="E100" s="12" t="s">
        <v>452</v>
      </c>
      <c r="F100" s="12" t="s">
        <v>453</v>
      </c>
      <c r="G100" s="24"/>
      <c r="H100" s="12"/>
      <c r="I100" s="24" t="s">
        <v>454</v>
      </c>
      <c r="J100" s="12" t="s">
        <v>205</v>
      </c>
      <c r="K100" s="25" t="s">
        <v>111</v>
      </c>
      <c r="L100" s="26"/>
      <c r="M100" s="26"/>
      <c r="N100" s="26"/>
      <c r="O100" s="26"/>
    </row>
    <row r="101" customFormat="false" ht="29.85" hidden="false" customHeight="false" outlineLevel="0" collapsed="false">
      <c r="A101" s="12" t="s">
        <v>61</v>
      </c>
      <c r="B101" s="12" t="s">
        <v>397</v>
      </c>
      <c r="C101" s="13" t="s">
        <v>52</v>
      </c>
      <c r="D101" s="29" t="s">
        <v>178</v>
      </c>
      <c r="E101" s="12" t="s">
        <v>455</v>
      </c>
      <c r="F101" s="34" t="s">
        <v>456</v>
      </c>
      <c r="G101" s="24"/>
      <c r="H101" s="12"/>
      <c r="I101" s="24"/>
      <c r="J101" s="12" t="s">
        <v>177</v>
      </c>
      <c r="K101" s="25" t="s">
        <v>111</v>
      </c>
      <c r="L101" s="26"/>
      <c r="M101" s="26"/>
      <c r="N101" s="26"/>
      <c r="O101" s="26"/>
    </row>
    <row r="102" customFormat="false" ht="45.75" hidden="false" customHeight="true" outlineLevel="0" collapsed="false">
      <c r="A102" s="35" t="s">
        <v>63</v>
      </c>
      <c r="B102" s="35" t="s">
        <v>457</v>
      </c>
      <c r="C102" s="36" t="s">
        <v>65</v>
      </c>
      <c r="D102" s="36" t="s">
        <v>39</v>
      </c>
      <c r="E102" s="35"/>
      <c r="F102" s="37" t="s">
        <v>458</v>
      </c>
      <c r="G102" s="35"/>
      <c r="H102" s="35"/>
      <c r="I102" s="35"/>
      <c r="J102" s="35"/>
      <c r="K102" s="35"/>
      <c r="L102" s="35"/>
      <c r="M102" s="35"/>
      <c r="N102" s="35"/>
      <c r="O102" s="35"/>
    </row>
    <row r="103" customFormat="false" ht="35.05" hidden="false" customHeight="false" outlineLevel="0" collapsed="false">
      <c r="A103" s="12" t="s">
        <v>63</v>
      </c>
      <c r="B103" s="12" t="s">
        <v>459</v>
      </c>
      <c r="C103" s="13" t="s">
        <v>65</v>
      </c>
      <c r="D103" s="23" t="s">
        <v>104</v>
      </c>
      <c r="E103" s="12" t="s">
        <v>460</v>
      </c>
      <c r="F103" s="12" t="s">
        <v>461</v>
      </c>
      <c r="G103" s="24"/>
      <c r="H103" s="13" t="s">
        <v>462</v>
      </c>
      <c r="I103" s="24" t="s">
        <v>463</v>
      </c>
      <c r="J103" s="12" t="s">
        <v>157</v>
      </c>
      <c r="K103" s="25" t="s">
        <v>111</v>
      </c>
      <c r="L103" s="26"/>
      <c r="M103" s="26"/>
      <c r="N103" s="26"/>
      <c r="O103" s="26"/>
    </row>
    <row r="104" customFormat="false" ht="29.85" hidden="false" customHeight="false" outlineLevel="0" collapsed="false">
      <c r="A104" s="12" t="s">
        <v>63</v>
      </c>
      <c r="B104" s="12" t="s">
        <v>459</v>
      </c>
      <c r="C104" s="13" t="s">
        <v>65</v>
      </c>
      <c r="D104" s="23" t="s">
        <v>104</v>
      </c>
      <c r="E104" s="12" t="s">
        <v>464</v>
      </c>
      <c r="F104" s="12" t="s">
        <v>465</v>
      </c>
      <c r="G104" s="24" t="s">
        <v>165</v>
      </c>
      <c r="H104" s="13" t="s">
        <v>466</v>
      </c>
      <c r="I104" s="24"/>
      <c r="J104" s="12" t="s">
        <v>127</v>
      </c>
      <c r="K104" s="25" t="s">
        <v>111</v>
      </c>
      <c r="L104" s="26"/>
      <c r="M104" s="26"/>
      <c r="N104" s="26"/>
      <c r="O104" s="26"/>
    </row>
    <row r="105" customFormat="false" ht="29.85" hidden="false" customHeight="false" outlineLevel="0" collapsed="false">
      <c r="A105" s="12" t="s">
        <v>63</v>
      </c>
      <c r="B105" s="12" t="s">
        <v>459</v>
      </c>
      <c r="C105" s="13" t="s">
        <v>65</v>
      </c>
      <c r="D105" s="23" t="s">
        <v>104</v>
      </c>
      <c r="E105" s="12" t="s">
        <v>467</v>
      </c>
      <c r="F105" s="12" t="s">
        <v>468</v>
      </c>
      <c r="G105" s="24"/>
      <c r="H105" s="12"/>
      <c r="I105" s="24" t="s">
        <v>469</v>
      </c>
      <c r="J105" s="12" t="s">
        <v>127</v>
      </c>
      <c r="K105" s="25" t="s">
        <v>111</v>
      </c>
      <c r="L105" s="26"/>
      <c r="M105" s="26"/>
      <c r="N105" s="26"/>
      <c r="O105" s="26"/>
    </row>
    <row r="106" customFormat="false" ht="44" hidden="false" customHeight="false" outlineLevel="0" collapsed="false">
      <c r="A106" s="12" t="s">
        <v>63</v>
      </c>
      <c r="B106" s="12" t="s">
        <v>459</v>
      </c>
      <c r="C106" s="13" t="s">
        <v>65</v>
      </c>
      <c r="D106" s="23" t="s">
        <v>104</v>
      </c>
      <c r="E106" s="12" t="s">
        <v>470</v>
      </c>
      <c r="F106" s="13" t="s">
        <v>471</v>
      </c>
      <c r="G106" s="24" t="s">
        <v>472</v>
      </c>
      <c r="H106" s="13" t="s">
        <v>473</v>
      </c>
      <c r="I106" s="24" t="s">
        <v>151</v>
      </c>
      <c r="J106" s="12" t="s">
        <v>127</v>
      </c>
      <c r="K106" s="25" t="s">
        <v>111</v>
      </c>
      <c r="L106" s="26"/>
      <c r="M106" s="26"/>
      <c r="N106" s="26"/>
      <c r="O106" s="26"/>
    </row>
    <row r="107" customFormat="false" ht="29.85" hidden="false" customHeight="false" outlineLevel="0" collapsed="false">
      <c r="A107" s="12" t="s">
        <v>63</v>
      </c>
      <c r="B107" s="12" t="s">
        <v>459</v>
      </c>
      <c r="C107" s="13" t="s">
        <v>65</v>
      </c>
      <c r="D107" s="23" t="s">
        <v>104</v>
      </c>
      <c r="E107" s="12" t="s">
        <v>474</v>
      </c>
      <c r="F107" s="13" t="s">
        <v>475</v>
      </c>
      <c r="G107" s="24"/>
      <c r="H107" s="12"/>
      <c r="I107" s="24" t="s">
        <v>151</v>
      </c>
      <c r="J107" s="12" t="s">
        <v>205</v>
      </c>
      <c r="K107" s="25" t="s">
        <v>111</v>
      </c>
      <c r="L107" s="26"/>
      <c r="M107" s="26"/>
      <c r="N107" s="26"/>
      <c r="O107" s="26"/>
    </row>
    <row r="108" customFormat="false" ht="29.85" hidden="false" customHeight="false" outlineLevel="0" collapsed="false">
      <c r="A108" s="12" t="s">
        <v>63</v>
      </c>
      <c r="B108" s="12" t="s">
        <v>459</v>
      </c>
      <c r="C108" s="13" t="s">
        <v>65</v>
      </c>
      <c r="D108" s="23" t="s">
        <v>104</v>
      </c>
      <c r="E108" s="12" t="s">
        <v>476</v>
      </c>
      <c r="F108" s="12" t="s">
        <v>477</v>
      </c>
      <c r="G108" s="24" t="s">
        <v>478</v>
      </c>
      <c r="H108" s="13" t="s">
        <v>479</v>
      </c>
      <c r="I108" s="24" t="s">
        <v>480</v>
      </c>
      <c r="J108" s="12" t="s">
        <v>205</v>
      </c>
      <c r="K108" s="25" t="s">
        <v>111</v>
      </c>
      <c r="L108" s="26"/>
      <c r="M108" s="26"/>
      <c r="N108" s="26"/>
      <c r="O108" s="26"/>
    </row>
    <row r="109" customFormat="false" ht="29.85" hidden="false" customHeight="false" outlineLevel="0" collapsed="false">
      <c r="A109" s="12" t="s">
        <v>63</v>
      </c>
      <c r="B109" s="12" t="s">
        <v>459</v>
      </c>
      <c r="C109" s="13" t="s">
        <v>65</v>
      </c>
      <c r="D109" s="23" t="s">
        <v>104</v>
      </c>
      <c r="E109" s="12" t="s">
        <v>481</v>
      </c>
      <c r="F109" s="13" t="s">
        <v>482</v>
      </c>
      <c r="G109" s="24"/>
      <c r="H109" s="12"/>
      <c r="I109" s="24" t="s">
        <v>162</v>
      </c>
      <c r="J109" s="12" t="s">
        <v>127</v>
      </c>
      <c r="K109" s="25" t="s">
        <v>111</v>
      </c>
      <c r="L109" s="26"/>
      <c r="M109" s="26"/>
      <c r="N109" s="26"/>
      <c r="O109" s="26"/>
    </row>
    <row r="110" customFormat="false" ht="41" hidden="false" customHeight="false" outlineLevel="0" collapsed="false">
      <c r="A110" s="12" t="s">
        <v>63</v>
      </c>
      <c r="B110" s="12" t="s">
        <v>459</v>
      </c>
      <c r="C110" s="13" t="s">
        <v>65</v>
      </c>
      <c r="D110" s="27" t="s">
        <v>168</v>
      </c>
      <c r="E110" s="12" t="s">
        <v>483</v>
      </c>
      <c r="F110" s="12" t="s">
        <v>484</v>
      </c>
      <c r="G110" s="24" t="s">
        <v>485</v>
      </c>
      <c r="H110" s="12" t="s">
        <v>486</v>
      </c>
      <c r="I110" s="24" t="s">
        <v>151</v>
      </c>
      <c r="J110" s="12" t="s">
        <v>205</v>
      </c>
      <c r="K110" s="25" t="s">
        <v>111</v>
      </c>
      <c r="L110" s="26"/>
      <c r="M110" s="26"/>
      <c r="N110" s="26"/>
      <c r="O110" s="26"/>
    </row>
    <row r="111" customFormat="false" ht="29.85" hidden="false" customHeight="false" outlineLevel="0" collapsed="false">
      <c r="A111" s="12" t="s">
        <v>63</v>
      </c>
      <c r="B111" s="12" t="s">
        <v>459</v>
      </c>
      <c r="C111" s="13" t="s">
        <v>65</v>
      </c>
      <c r="D111" s="27" t="s">
        <v>168</v>
      </c>
      <c r="E111" s="12" t="s">
        <v>487</v>
      </c>
      <c r="F111" s="13" t="s">
        <v>488</v>
      </c>
      <c r="G111" s="24"/>
      <c r="H111" s="12"/>
      <c r="I111" s="24" t="s">
        <v>151</v>
      </c>
      <c r="J111" s="12" t="s">
        <v>205</v>
      </c>
      <c r="K111" s="25" t="s">
        <v>111</v>
      </c>
      <c r="L111" s="26"/>
      <c r="M111" s="26"/>
      <c r="N111" s="26"/>
      <c r="O111" s="26"/>
    </row>
    <row r="112" customFormat="false" ht="29.85" hidden="false" customHeight="false" outlineLevel="0" collapsed="false">
      <c r="A112" s="12" t="s">
        <v>63</v>
      </c>
      <c r="B112" s="12" t="s">
        <v>459</v>
      </c>
      <c r="C112" s="13" t="s">
        <v>65</v>
      </c>
      <c r="D112" s="28" t="s">
        <v>173</v>
      </c>
      <c r="E112" s="12" t="s">
        <v>489</v>
      </c>
      <c r="F112" s="13" t="s">
        <v>490</v>
      </c>
      <c r="G112" s="24" t="s">
        <v>491</v>
      </c>
      <c r="H112" s="13" t="s">
        <v>357</v>
      </c>
      <c r="I112" s="24"/>
      <c r="J112" s="12" t="s">
        <v>127</v>
      </c>
      <c r="K112" s="25" t="s">
        <v>111</v>
      </c>
      <c r="L112" s="26"/>
      <c r="M112" s="26"/>
      <c r="N112" s="26"/>
      <c r="O112" s="26"/>
    </row>
    <row r="113" customFormat="false" ht="29.85" hidden="false" customHeight="false" outlineLevel="0" collapsed="false">
      <c r="A113" s="12" t="s">
        <v>63</v>
      </c>
      <c r="B113" s="12" t="s">
        <v>459</v>
      </c>
      <c r="C113" s="13" t="s">
        <v>65</v>
      </c>
      <c r="D113" s="29" t="s">
        <v>178</v>
      </c>
      <c r="E113" s="12" t="s">
        <v>492</v>
      </c>
      <c r="F113" s="12" t="s">
        <v>493</v>
      </c>
      <c r="G113" s="24"/>
      <c r="H113" s="12"/>
      <c r="I113" s="24" t="s">
        <v>494</v>
      </c>
      <c r="J113" s="12" t="s">
        <v>205</v>
      </c>
      <c r="K113" s="25" t="s">
        <v>111</v>
      </c>
      <c r="L113" s="26"/>
      <c r="M113" s="26"/>
      <c r="N113" s="26"/>
      <c r="O113" s="26"/>
    </row>
    <row r="114" customFormat="false" ht="29.85" hidden="false" customHeight="false" outlineLevel="0" collapsed="false">
      <c r="A114" s="12" t="s">
        <v>63</v>
      </c>
      <c r="B114" s="12" t="s">
        <v>459</v>
      </c>
      <c r="C114" s="13" t="s">
        <v>65</v>
      </c>
      <c r="D114" s="29" t="s">
        <v>178</v>
      </c>
      <c r="E114" s="12" t="s">
        <v>495</v>
      </c>
      <c r="F114" s="12" t="s">
        <v>496</v>
      </c>
      <c r="G114" s="24"/>
      <c r="H114" s="12"/>
      <c r="I114" s="24" t="s">
        <v>151</v>
      </c>
      <c r="J114" s="12" t="s">
        <v>127</v>
      </c>
      <c r="K114" s="25" t="s">
        <v>111</v>
      </c>
      <c r="L114" s="26"/>
      <c r="M114" s="26"/>
      <c r="N114" s="26"/>
      <c r="O114" s="26"/>
    </row>
    <row r="115" customFormat="false" ht="45.75" hidden="false" customHeight="true" outlineLevel="0" collapsed="false">
      <c r="A115" s="35" t="s">
        <v>66</v>
      </c>
      <c r="B115" s="35" t="s">
        <v>497</v>
      </c>
      <c r="C115" s="36" t="s">
        <v>65</v>
      </c>
      <c r="D115" s="36" t="s">
        <v>39</v>
      </c>
      <c r="E115" s="35"/>
      <c r="F115" s="37" t="s">
        <v>498</v>
      </c>
      <c r="G115" s="35"/>
      <c r="H115" s="35"/>
      <c r="I115" s="35"/>
      <c r="J115" s="35"/>
      <c r="K115" s="35"/>
      <c r="L115" s="35"/>
      <c r="M115" s="35"/>
      <c r="N115" s="35"/>
      <c r="O115" s="35"/>
    </row>
    <row r="116" customFormat="false" ht="29.85" hidden="false" customHeight="false" outlineLevel="0" collapsed="false">
      <c r="A116" s="12" t="s">
        <v>66</v>
      </c>
      <c r="B116" s="12" t="s">
        <v>497</v>
      </c>
      <c r="C116" s="13" t="s">
        <v>65</v>
      </c>
      <c r="D116" s="23" t="s">
        <v>104</v>
      </c>
      <c r="E116" s="12" t="s">
        <v>499</v>
      </c>
      <c r="F116" s="13" t="s">
        <v>500</v>
      </c>
      <c r="G116" s="24"/>
      <c r="H116" s="12"/>
      <c r="I116" s="24"/>
      <c r="J116" s="12" t="s">
        <v>157</v>
      </c>
      <c r="K116" s="25" t="s">
        <v>111</v>
      </c>
      <c r="L116" s="26"/>
      <c r="M116" s="26"/>
      <c r="N116" s="26"/>
      <c r="O116" s="26"/>
    </row>
    <row r="117" customFormat="false" ht="15" hidden="false" customHeight="false" outlineLevel="0" collapsed="false">
      <c r="A117" s="12" t="s">
        <v>66</v>
      </c>
      <c r="B117" s="12" t="s">
        <v>497</v>
      </c>
      <c r="C117" s="13" t="s">
        <v>65</v>
      </c>
      <c r="D117" s="23" t="s">
        <v>104</v>
      </c>
      <c r="E117" s="12" t="s">
        <v>501</v>
      </c>
      <c r="F117" s="12" t="s">
        <v>502</v>
      </c>
      <c r="G117" s="24" t="s">
        <v>503</v>
      </c>
      <c r="H117" s="13" t="s">
        <v>504</v>
      </c>
      <c r="I117" s="24" t="s">
        <v>505</v>
      </c>
      <c r="J117" s="12" t="s">
        <v>157</v>
      </c>
      <c r="K117" s="25" t="s">
        <v>111</v>
      </c>
      <c r="L117" s="26"/>
      <c r="M117" s="26"/>
      <c r="N117" s="26"/>
      <c r="O117" s="26"/>
    </row>
    <row r="118" customFormat="false" ht="29.85" hidden="false" customHeight="false" outlineLevel="0" collapsed="false">
      <c r="A118" s="12" t="s">
        <v>66</v>
      </c>
      <c r="B118" s="12" t="s">
        <v>497</v>
      </c>
      <c r="C118" s="13" t="s">
        <v>65</v>
      </c>
      <c r="D118" s="27" t="s">
        <v>168</v>
      </c>
      <c r="E118" s="12" t="s">
        <v>506</v>
      </c>
      <c r="F118" s="13" t="s">
        <v>507</v>
      </c>
      <c r="G118" s="24" t="s">
        <v>508</v>
      </c>
      <c r="H118" s="13" t="s">
        <v>466</v>
      </c>
      <c r="I118" s="24" t="s">
        <v>509</v>
      </c>
      <c r="J118" s="12" t="s">
        <v>157</v>
      </c>
      <c r="K118" s="25" t="s">
        <v>111</v>
      </c>
      <c r="L118" s="26"/>
      <c r="M118" s="26"/>
      <c r="N118" s="26"/>
      <c r="O118" s="26"/>
    </row>
    <row r="119" customFormat="false" ht="23.85" hidden="false" customHeight="false" outlineLevel="0" collapsed="false">
      <c r="A119" s="12" t="s">
        <v>66</v>
      </c>
      <c r="B119" s="12" t="s">
        <v>497</v>
      </c>
      <c r="C119" s="13" t="s">
        <v>65</v>
      </c>
      <c r="D119" s="27" t="s">
        <v>168</v>
      </c>
      <c r="E119" s="12" t="s">
        <v>510</v>
      </c>
      <c r="F119" s="12" t="s">
        <v>511</v>
      </c>
      <c r="G119" s="24" t="s">
        <v>512</v>
      </c>
      <c r="H119" s="12" t="s">
        <v>304</v>
      </c>
      <c r="I119" s="24" t="s">
        <v>513</v>
      </c>
      <c r="J119" s="12" t="s">
        <v>157</v>
      </c>
      <c r="K119" s="25" t="s">
        <v>111</v>
      </c>
      <c r="L119" s="26"/>
      <c r="M119" s="26"/>
      <c r="N119" s="26"/>
      <c r="O119" s="26"/>
    </row>
    <row r="120" customFormat="false" ht="29.85" hidden="false" customHeight="false" outlineLevel="0" collapsed="false">
      <c r="A120" s="12" t="s">
        <v>66</v>
      </c>
      <c r="B120" s="12" t="s">
        <v>497</v>
      </c>
      <c r="C120" s="13" t="s">
        <v>65</v>
      </c>
      <c r="D120" s="27" t="s">
        <v>168</v>
      </c>
      <c r="E120" s="12" t="s">
        <v>514</v>
      </c>
      <c r="F120" s="13" t="s">
        <v>515</v>
      </c>
      <c r="G120" s="24" t="s">
        <v>516</v>
      </c>
      <c r="H120" s="12"/>
      <c r="I120" s="33" t="s">
        <v>517</v>
      </c>
      <c r="J120" s="12" t="s">
        <v>157</v>
      </c>
      <c r="K120" s="25" t="s">
        <v>111</v>
      </c>
      <c r="L120" s="26"/>
      <c r="M120" s="26"/>
      <c r="N120" s="26"/>
      <c r="O120" s="26"/>
    </row>
    <row r="121" customFormat="false" ht="29.85" hidden="false" customHeight="false" outlineLevel="0" collapsed="false">
      <c r="A121" s="12" t="s">
        <v>66</v>
      </c>
      <c r="B121" s="12" t="s">
        <v>497</v>
      </c>
      <c r="C121" s="13" t="s">
        <v>65</v>
      </c>
      <c r="D121" s="28" t="s">
        <v>173</v>
      </c>
      <c r="E121" s="12" t="s">
        <v>518</v>
      </c>
      <c r="F121" s="12" t="s">
        <v>519</v>
      </c>
      <c r="G121" s="24" t="s">
        <v>512</v>
      </c>
      <c r="H121" s="13" t="s">
        <v>357</v>
      </c>
      <c r="I121" s="24"/>
      <c r="J121" s="12" t="s">
        <v>157</v>
      </c>
      <c r="K121" s="25" t="s">
        <v>111</v>
      </c>
      <c r="L121" s="26"/>
      <c r="M121" s="26"/>
      <c r="N121" s="26"/>
      <c r="O121" s="26"/>
    </row>
    <row r="122" customFormat="false" ht="15" hidden="false" customHeight="false" outlineLevel="0" collapsed="false">
      <c r="A122" s="12" t="s">
        <v>66</v>
      </c>
      <c r="B122" s="12" t="s">
        <v>497</v>
      </c>
      <c r="C122" s="13" t="s">
        <v>65</v>
      </c>
      <c r="D122" s="28" t="s">
        <v>173</v>
      </c>
      <c r="E122" s="12" t="s">
        <v>520</v>
      </c>
      <c r="F122" s="12" t="s">
        <v>521</v>
      </c>
      <c r="G122" s="24" t="s">
        <v>522</v>
      </c>
      <c r="H122" s="12" t="s">
        <v>523</v>
      </c>
      <c r="I122" s="24"/>
      <c r="J122" s="12" t="s">
        <v>157</v>
      </c>
      <c r="K122" s="25" t="s">
        <v>111</v>
      </c>
      <c r="L122" s="26"/>
      <c r="M122" s="26"/>
      <c r="N122" s="26"/>
      <c r="O122" s="26"/>
    </row>
    <row r="123" customFormat="false" ht="29.85" hidden="false" customHeight="false" outlineLevel="0" collapsed="false">
      <c r="A123" s="12" t="s">
        <v>66</v>
      </c>
      <c r="B123" s="12" t="s">
        <v>497</v>
      </c>
      <c r="C123" s="13" t="s">
        <v>65</v>
      </c>
      <c r="D123" s="29" t="s">
        <v>178</v>
      </c>
      <c r="E123" s="12" t="s">
        <v>524</v>
      </c>
      <c r="F123" s="12" t="s">
        <v>525</v>
      </c>
      <c r="G123" s="24"/>
      <c r="H123" s="12"/>
      <c r="I123" s="24" t="s">
        <v>526</v>
      </c>
      <c r="J123" s="12" t="s">
        <v>157</v>
      </c>
      <c r="K123" s="25" t="s">
        <v>111</v>
      </c>
      <c r="L123" s="26"/>
      <c r="M123" s="26"/>
      <c r="N123" s="26"/>
      <c r="O123" s="26"/>
    </row>
    <row r="124" customFormat="false" ht="45.75" hidden="false" customHeight="true" outlineLevel="0" collapsed="false">
      <c r="A124" s="35" t="s">
        <v>68</v>
      </c>
      <c r="B124" s="35" t="s">
        <v>527</v>
      </c>
      <c r="C124" s="36" t="s">
        <v>65</v>
      </c>
      <c r="D124" s="36" t="s">
        <v>39</v>
      </c>
      <c r="E124" s="35"/>
      <c r="F124" s="37" t="s">
        <v>528</v>
      </c>
      <c r="G124" s="35"/>
      <c r="H124" s="35"/>
      <c r="I124" s="35"/>
      <c r="J124" s="35"/>
      <c r="K124" s="35"/>
      <c r="L124" s="35"/>
      <c r="M124" s="35"/>
      <c r="N124" s="35"/>
      <c r="O124" s="35"/>
    </row>
    <row r="125" customFormat="false" ht="29.85" hidden="false" customHeight="false" outlineLevel="0" collapsed="false">
      <c r="A125" s="12" t="s">
        <v>68</v>
      </c>
      <c r="B125" s="12" t="s">
        <v>527</v>
      </c>
      <c r="C125" s="13" t="s">
        <v>65</v>
      </c>
      <c r="D125" s="23" t="s">
        <v>104</v>
      </c>
      <c r="E125" s="12" t="s">
        <v>529</v>
      </c>
      <c r="F125" s="12" t="s">
        <v>530</v>
      </c>
      <c r="G125" s="24"/>
      <c r="H125" s="12" t="s">
        <v>265</v>
      </c>
      <c r="I125" s="24" t="s">
        <v>531</v>
      </c>
      <c r="J125" s="12" t="s">
        <v>152</v>
      </c>
      <c r="K125" s="25" t="s">
        <v>111</v>
      </c>
      <c r="L125" s="26"/>
      <c r="M125" s="26"/>
      <c r="N125" s="26"/>
      <c r="O125" s="26"/>
    </row>
    <row r="126" customFormat="false" ht="44" hidden="false" customHeight="false" outlineLevel="0" collapsed="false">
      <c r="A126" s="12" t="s">
        <v>68</v>
      </c>
      <c r="B126" s="12" t="s">
        <v>527</v>
      </c>
      <c r="C126" s="13" t="s">
        <v>65</v>
      </c>
      <c r="D126" s="23" t="s">
        <v>104</v>
      </c>
      <c r="E126" s="12" t="s">
        <v>532</v>
      </c>
      <c r="F126" s="12" t="s">
        <v>533</v>
      </c>
      <c r="G126" s="24"/>
      <c r="H126" s="13" t="s">
        <v>136</v>
      </c>
      <c r="I126" s="24" t="s">
        <v>534</v>
      </c>
      <c r="J126" s="12" t="s">
        <v>127</v>
      </c>
      <c r="K126" s="25" t="s">
        <v>111</v>
      </c>
      <c r="L126" s="26"/>
      <c r="M126" s="26"/>
      <c r="N126" s="26"/>
      <c r="O126" s="26"/>
    </row>
    <row r="127" customFormat="false" ht="29.85" hidden="false" customHeight="false" outlineLevel="0" collapsed="false">
      <c r="A127" s="12" t="s">
        <v>68</v>
      </c>
      <c r="B127" s="12" t="s">
        <v>527</v>
      </c>
      <c r="C127" s="13" t="s">
        <v>65</v>
      </c>
      <c r="D127" s="23" t="s">
        <v>104</v>
      </c>
      <c r="E127" s="12" t="s">
        <v>535</v>
      </c>
      <c r="F127" s="13" t="s">
        <v>536</v>
      </c>
      <c r="G127" s="24" t="s">
        <v>537</v>
      </c>
      <c r="H127" s="12" t="s">
        <v>538</v>
      </c>
      <c r="I127" s="24" t="s">
        <v>151</v>
      </c>
      <c r="J127" s="12" t="s">
        <v>205</v>
      </c>
      <c r="K127" s="25" t="s">
        <v>111</v>
      </c>
      <c r="L127" s="26"/>
      <c r="M127" s="26"/>
      <c r="N127" s="26"/>
      <c r="O127" s="26"/>
    </row>
    <row r="128" customFormat="false" ht="29.85" hidden="false" customHeight="false" outlineLevel="0" collapsed="false">
      <c r="A128" s="12" t="s">
        <v>68</v>
      </c>
      <c r="B128" s="12" t="s">
        <v>527</v>
      </c>
      <c r="C128" s="13" t="s">
        <v>65</v>
      </c>
      <c r="D128" s="23" t="s">
        <v>104</v>
      </c>
      <c r="E128" s="12" t="s">
        <v>539</v>
      </c>
      <c r="F128" s="12" t="s">
        <v>540</v>
      </c>
      <c r="G128" s="24"/>
      <c r="H128" s="12"/>
      <c r="I128" s="24" t="s">
        <v>541</v>
      </c>
      <c r="J128" s="12" t="s">
        <v>143</v>
      </c>
      <c r="K128" s="25" t="s">
        <v>111</v>
      </c>
      <c r="L128" s="26"/>
      <c r="M128" s="26"/>
      <c r="N128" s="26"/>
      <c r="O128" s="26"/>
    </row>
    <row r="129" customFormat="false" ht="35.05" hidden="false" customHeight="false" outlineLevel="0" collapsed="false">
      <c r="A129" s="12" t="s">
        <v>68</v>
      </c>
      <c r="B129" s="12" t="s">
        <v>527</v>
      </c>
      <c r="C129" s="13" t="s">
        <v>65</v>
      </c>
      <c r="D129" s="27" t="s">
        <v>168</v>
      </c>
      <c r="E129" s="12" t="s">
        <v>542</v>
      </c>
      <c r="F129" s="12" t="s">
        <v>543</v>
      </c>
      <c r="G129" s="24" t="s">
        <v>544</v>
      </c>
      <c r="H129" s="12" t="s">
        <v>545</v>
      </c>
      <c r="I129" s="24" t="s">
        <v>541</v>
      </c>
      <c r="J129" s="12" t="s">
        <v>205</v>
      </c>
      <c r="K129" s="25" t="s">
        <v>111</v>
      </c>
      <c r="L129" s="26"/>
      <c r="M129" s="26"/>
      <c r="N129" s="26"/>
      <c r="O129" s="26"/>
    </row>
    <row r="130" customFormat="false" ht="29.85" hidden="false" customHeight="false" outlineLevel="0" collapsed="false">
      <c r="A130" s="12" t="s">
        <v>68</v>
      </c>
      <c r="B130" s="12" t="s">
        <v>527</v>
      </c>
      <c r="C130" s="13" t="s">
        <v>65</v>
      </c>
      <c r="D130" s="27" t="s">
        <v>168</v>
      </c>
      <c r="E130" s="12" t="s">
        <v>546</v>
      </c>
      <c r="F130" s="12" t="s">
        <v>547</v>
      </c>
      <c r="G130" s="24"/>
      <c r="H130" s="12"/>
      <c r="I130" s="24" t="s">
        <v>548</v>
      </c>
      <c r="J130" s="12" t="s">
        <v>152</v>
      </c>
      <c r="K130" s="25" t="s">
        <v>111</v>
      </c>
      <c r="L130" s="26"/>
      <c r="M130" s="26"/>
      <c r="N130" s="26"/>
      <c r="O130" s="26"/>
    </row>
    <row r="131" customFormat="false" ht="29.85" hidden="false" customHeight="false" outlineLevel="0" collapsed="false">
      <c r="A131" s="12" t="s">
        <v>68</v>
      </c>
      <c r="B131" s="12" t="s">
        <v>527</v>
      </c>
      <c r="C131" s="13" t="s">
        <v>65</v>
      </c>
      <c r="D131" s="28" t="s">
        <v>173</v>
      </c>
      <c r="E131" s="12" t="s">
        <v>549</v>
      </c>
      <c r="F131" s="12" t="s">
        <v>550</v>
      </c>
      <c r="G131" s="24" t="s">
        <v>551</v>
      </c>
      <c r="H131" s="12" t="s">
        <v>353</v>
      </c>
      <c r="I131" s="24" t="s">
        <v>151</v>
      </c>
      <c r="J131" s="12" t="s">
        <v>205</v>
      </c>
      <c r="K131" s="25" t="s">
        <v>111</v>
      </c>
      <c r="L131" s="26"/>
      <c r="M131" s="26"/>
      <c r="N131" s="26"/>
      <c r="O131" s="26"/>
    </row>
    <row r="132" customFormat="false" ht="15" hidden="false" customHeight="false" outlineLevel="0" collapsed="false">
      <c r="A132" s="12" t="s">
        <v>68</v>
      </c>
      <c r="B132" s="12" t="s">
        <v>527</v>
      </c>
      <c r="C132" s="13" t="s">
        <v>65</v>
      </c>
      <c r="D132" s="28" t="s">
        <v>173</v>
      </c>
      <c r="E132" s="12" t="s">
        <v>552</v>
      </c>
      <c r="F132" s="12" t="s">
        <v>553</v>
      </c>
      <c r="G132" s="24"/>
      <c r="H132" s="13" t="s">
        <v>393</v>
      </c>
      <c r="I132" s="24"/>
      <c r="J132" s="12" t="s">
        <v>157</v>
      </c>
      <c r="K132" s="25" t="s">
        <v>111</v>
      </c>
      <c r="L132" s="26"/>
      <c r="M132" s="26"/>
      <c r="N132" s="26"/>
      <c r="O132" s="26"/>
    </row>
    <row r="133" customFormat="false" ht="44" hidden="false" customHeight="false" outlineLevel="0" collapsed="false">
      <c r="A133" s="12" t="s">
        <v>68</v>
      </c>
      <c r="B133" s="12" t="s">
        <v>527</v>
      </c>
      <c r="C133" s="13" t="s">
        <v>65</v>
      </c>
      <c r="D133" s="29" t="s">
        <v>178</v>
      </c>
      <c r="E133" s="12" t="s">
        <v>554</v>
      </c>
      <c r="F133" s="34" t="s">
        <v>555</v>
      </c>
      <c r="G133" s="24"/>
      <c r="H133" s="12"/>
      <c r="I133" s="24" t="s">
        <v>556</v>
      </c>
      <c r="J133" s="12" t="s">
        <v>177</v>
      </c>
      <c r="K133" s="25" t="s">
        <v>111</v>
      </c>
      <c r="L133" s="26"/>
      <c r="M133" s="26"/>
      <c r="N133" s="26"/>
      <c r="O133" s="26"/>
    </row>
    <row r="134" customFormat="false" ht="45.75" hidden="false" customHeight="true" outlineLevel="0" collapsed="false">
      <c r="A134" s="35" t="s">
        <v>70</v>
      </c>
      <c r="B134" s="35" t="s">
        <v>557</v>
      </c>
      <c r="C134" s="36" t="s">
        <v>65</v>
      </c>
      <c r="D134" s="36" t="s">
        <v>39</v>
      </c>
      <c r="E134" s="35"/>
      <c r="F134" s="37" t="s">
        <v>558</v>
      </c>
      <c r="G134" s="35"/>
      <c r="H134" s="35"/>
      <c r="I134" s="35"/>
      <c r="J134" s="35"/>
      <c r="K134" s="35"/>
      <c r="L134" s="35"/>
      <c r="M134" s="35"/>
      <c r="N134" s="35"/>
      <c r="O134" s="35"/>
    </row>
    <row r="135" customFormat="false" ht="29.85" hidden="false" customHeight="false" outlineLevel="0" collapsed="false">
      <c r="A135" s="12" t="s">
        <v>70</v>
      </c>
      <c r="B135" s="12" t="s">
        <v>559</v>
      </c>
      <c r="C135" s="13" t="s">
        <v>65</v>
      </c>
      <c r="D135" s="23" t="s">
        <v>104</v>
      </c>
      <c r="E135" s="12" t="s">
        <v>560</v>
      </c>
      <c r="F135" s="12" t="s">
        <v>561</v>
      </c>
      <c r="G135" s="24"/>
      <c r="H135" s="12"/>
      <c r="I135" s="24" t="s">
        <v>562</v>
      </c>
      <c r="J135" s="12" t="s">
        <v>127</v>
      </c>
      <c r="K135" s="25" t="s">
        <v>111</v>
      </c>
      <c r="L135" s="26"/>
      <c r="M135" s="26"/>
      <c r="N135" s="26"/>
      <c r="O135" s="26"/>
    </row>
    <row r="136" customFormat="false" ht="29.85" hidden="false" customHeight="false" outlineLevel="0" collapsed="false">
      <c r="A136" s="12" t="s">
        <v>70</v>
      </c>
      <c r="B136" s="12" t="s">
        <v>559</v>
      </c>
      <c r="C136" s="13" t="s">
        <v>65</v>
      </c>
      <c r="D136" s="23" t="s">
        <v>104</v>
      </c>
      <c r="E136" s="12" t="s">
        <v>563</v>
      </c>
      <c r="F136" s="12" t="s">
        <v>564</v>
      </c>
      <c r="G136" s="24" t="s">
        <v>565</v>
      </c>
      <c r="H136" s="12" t="s">
        <v>566</v>
      </c>
      <c r="I136" s="24"/>
      <c r="J136" s="12" t="s">
        <v>127</v>
      </c>
      <c r="K136" s="25" t="s">
        <v>111</v>
      </c>
      <c r="L136" s="26"/>
      <c r="M136" s="26"/>
      <c r="N136" s="26"/>
      <c r="O136" s="26"/>
    </row>
    <row r="137" customFormat="false" ht="15" hidden="false" customHeight="false" outlineLevel="0" collapsed="false">
      <c r="A137" s="12" t="s">
        <v>70</v>
      </c>
      <c r="B137" s="12" t="s">
        <v>559</v>
      </c>
      <c r="C137" s="13" t="s">
        <v>65</v>
      </c>
      <c r="D137" s="23" t="s">
        <v>104</v>
      </c>
      <c r="E137" s="12" t="s">
        <v>567</v>
      </c>
      <c r="F137" s="12" t="s">
        <v>568</v>
      </c>
      <c r="G137" s="24"/>
      <c r="H137" s="12"/>
      <c r="I137" s="24" t="s">
        <v>569</v>
      </c>
      <c r="J137" s="12" t="s">
        <v>152</v>
      </c>
      <c r="K137" s="25" t="s">
        <v>111</v>
      </c>
      <c r="L137" s="26"/>
      <c r="M137" s="26"/>
      <c r="N137" s="26"/>
      <c r="O137" s="26"/>
    </row>
    <row r="138" customFormat="false" ht="29.85" hidden="false" customHeight="false" outlineLevel="0" collapsed="false">
      <c r="A138" s="12" t="s">
        <v>70</v>
      </c>
      <c r="B138" s="12" t="s">
        <v>559</v>
      </c>
      <c r="C138" s="13" t="s">
        <v>65</v>
      </c>
      <c r="D138" s="27" t="s">
        <v>168</v>
      </c>
      <c r="E138" s="12" t="s">
        <v>570</v>
      </c>
      <c r="F138" s="12" t="s">
        <v>571</v>
      </c>
      <c r="G138" s="24" t="s">
        <v>572</v>
      </c>
      <c r="H138" s="12"/>
      <c r="I138" s="24" t="s">
        <v>562</v>
      </c>
      <c r="J138" s="12" t="s">
        <v>205</v>
      </c>
      <c r="K138" s="25" t="s">
        <v>111</v>
      </c>
      <c r="L138" s="26"/>
      <c r="M138" s="26"/>
      <c r="N138" s="26"/>
      <c r="O138" s="26"/>
    </row>
    <row r="139" customFormat="false" ht="26.85" hidden="false" customHeight="false" outlineLevel="0" collapsed="false">
      <c r="A139" s="12" t="s">
        <v>70</v>
      </c>
      <c r="B139" s="12" t="s">
        <v>559</v>
      </c>
      <c r="C139" s="13" t="s">
        <v>65</v>
      </c>
      <c r="D139" s="28" t="s">
        <v>173</v>
      </c>
      <c r="E139" s="12" t="s">
        <v>573</v>
      </c>
      <c r="F139" s="12" t="s">
        <v>574</v>
      </c>
      <c r="G139" s="24"/>
      <c r="H139" s="13" t="s">
        <v>357</v>
      </c>
      <c r="I139" s="24"/>
      <c r="J139" s="12" t="s">
        <v>127</v>
      </c>
      <c r="K139" s="25" t="s">
        <v>111</v>
      </c>
      <c r="L139" s="26"/>
      <c r="M139" s="26"/>
      <c r="N139" s="26"/>
      <c r="O139" s="26"/>
    </row>
    <row r="140" customFormat="false" ht="15" hidden="false" customHeight="false" outlineLevel="0" collapsed="false">
      <c r="A140" s="12" t="s">
        <v>70</v>
      </c>
      <c r="B140" s="12" t="s">
        <v>559</v>
      </c>
      <c r="C140" s="13" t="s">
        <v>65</v>
      </c>
      <c r="D140" s="28" t="s">
        <v>173</v>
      </c>
      <c r="E140" s="12" t="s">
        <v>575</v>
      </c>
      <c r="F140" s="12" t="s">
        <v>576</v>
      </c>
      <c r="G140" s="24"/>
      <c r="H140" s="13" t="s">
        <v>466</v>
      </c>
      <c r="I140" s="24"/>
      <c r="J140" s="12" t="s">
        <v>577</v>
      </c>
      <c r="K140" s="25" t="s">
        <v>111</v>
      </c>
      <c r="L140" s="26"/>
      <c r="M140" s="26"/>
      <c r="N140" s="26"/>
      <c r="O140" s="26"/>
    </row>
    <row r="141" customFormat="false" ht="29.85" hidden="false" customHeight="false" outlineLevel="0" collapsed="false">
      <c r="A141" s="12" t="s">
        <v>70</v>
      </c>
      <c r="B141" s="12" t="s">
        <v>559</v>
      </c>
      <c r="C141" s="13" t="s">
        <v>65</v>
      </c>
      <c r="D141" s="29" t="s">
        <v>178</v>
      </c>
      <c r="E141" s="12" t="s">
        <v>578</v>
      </c>
      <c r="F141" s="13" t="s">
        <v>579</v>
      </c>
      <c r="G141" s="24"/>
      <c r="H141" s="12"/>
      <c r="I141" s="24" t="s">
        <v>580</v>
      </c>
      <c r="J141" s="12" t="s">
        <v>127</v>
      </c>
      <c r="K141" s="25" t="s">
        <v>111</v>
      </c>
      <c r="L141" s="26"/>
      <c r="M141" s="26"/>
      <c r="N141" s="26"/>
      <c r="O141" s="26"/>
    </row>
    <row r="142" customFormat="false" ht="45.75" hidden="false" customHeight="true" outlineLevel="0" collapsed="false">
      <c r="A142" s="38" t="s">
        <v>72</v>
      </c>
      <c r="B142" s="38" t="s">
        <v>581</v>
      </c>
      <c r="C142" s="39" t="s">
        <v>74</v>
      </c>
      <c r="D142" s="39" t="s">
        <v>39</v>
      </c>
      <c r="E142" s="38"/>
      <c r="F142" s="40" t="s">
        <v>582</v>
      </c>
      <c r="G142" s="38"/>
      <c r="H142" s="38"/>
      <c r="I142" s="38"/>
      <c r="J142" s="38"/>
      <c r="K142" s="38"/>
      <c r="L142" s="38"/>
      <c r="M142" s="38"/>
      <c r="N142" s="38"/>
      <c r="O142" s="38"/>
    </row>
    <row r="143" customFormat="false" ht="35.05" hidden="false" customHeight="false" outlineLevel="0" collapsed="false">
      <c r="A143" s="12" t="s">
        <v>72</v>
      </c>
      <c r="B143" s="12" t="s">
        <v>583</v>
      </c>
      <c r="C143" s="13" t="s">
        <v>74</v>
      </c>
      <c r="D143" s="23" t="s">
        <v>104</v>
      </c>
      <c r="E143" s="12" t="s">
        <v>584</v>
      </c>
      <c r="F143" s="12" t="s">
        <v>461</v>
      </c>
      <c r="G143" s="24"/>
      <c r="H143" s="13" t="s">
        <v>462</v>
      </c>
      <c r="I143" s="24" t="s">
        <v>463</v>
      </c>
      <c r="J143" s="12" t="s">
        <v>157</v>
      </c>
      <c r="K143" s="25" t="s">
        <v>111</v>
      </c>
      <c r="L143" s="26"/>
      <c r="M143" s="26"/>
      <c r="N143" s="26"/>
      <c r="O143" s="26"/>
    </row>
    <row r="144" customFormat="false" ht="35.05" hidden="false" customHeight="false" outlineLevel="0" collapsed="false">
      <c r="A144" s="12" t="s">
        <v>72</v>
      </c>
      <c r="B144" s="12" t="s">
        <v>583</v>
      </c>
      <c r="C144" s="13" t="s">
        <v>74</v>
      </c>
      <c r="D144" s="23" t="s">
        <v>104</v>
      </c>
      <c r="E144" s="12" t="s">
        <v>585</v>
      </c>
      <c r="F144" s="13" t="s">
        <v>586</v>
      </c>
      <c r="G144" s="24"/>
      <c r="H144" s="13" t="s">
        <v>462</v>
      </c>
      <c r="I144" s="24" t="s">
        <v>463</v>
      </c>
      <c r="J144" s="12" t="s">
        <v>157</v>
      </c>
      <c r="K144" s="25" t="s">
        <v>111</v>
      </c>
      <c r="L144" s="26"/>
      <c r="M144" s="26"/>
      <c r="N144" s="26"/>
      <c r="O144" s="26"/>
    </row>
    <row r="145" customFormat="false" ht="29.85" hidden="false" customHeight="false" outlineLevel="0" collapsed="false">
      <c r="A145" s="12" t="s">
        <v>72</v>
      </c>
      <c r="B145" s="12" t="s">
        <v>583</v>
      </c>
      <c r="C145" s="13" t="s">
        <v>74</v>
      </c>
      <c r="D145" s="23" t="s">
        <v>104</v>
      </c>
      <c r="E145" s="12" t="s">
        <v>587</v>
      </c>
      <c r="F145" s="12" t="s">
        <v>588</v>
      </c>
      <c r="G145" s="24"/>
      <c r="H145" s="13" t="s">
        <v>422</v>
      </c>
      <c r="I145" s="24"/>
      <c r="J145" s="12" t="s">
        <v>110</v>
      </c>
      <c r="K145" s="25" t="s">
        <v>111</v>
      </c>
      <c r="L145" s="26"/>
      <c r="M145" s="26"/>
      <c r="N145" s="26"/>
      <c r="O145" s="26"/>
    </row>
    <row r="146" customFormat="false" ht="29.85" hidden="false" customHeight="false" outlineLevel="0" collapsed="false">
      <c r="A146" s="12" t="s">
        <v>72</v>
      </c>
      <c r="B146" s="12" t="s">
        <v>583</v>
      </c>
      <c r="C146" s="13" t="s">
        <v>74</v>
      </c>
      <c r="D146" s="23" t="s">
        <v>104</v>
      </c>
      <c r="E146" s="12" t="s">
        <v>589</v>
      </c>
      <c r="F146" s="12" t="s">
        <v>465</v>
      </c>
      <c r="G146" s="24" t="s">
        <v>165</v>
      </c>
      <c r="H146" s="13" t="s">
        <v>466</v>
      </c>
      <c r="I146" s="24"/>
      <c r="J146" s="12" t="s">
        <v>127</v>
      </c>
      <c r="K146" s="25" t="s">
        <v>111</v>
      </c>
      <c r="L146" s="26"/>
      <c r="M146" s="26"/>
      <c r="N146" s="26"/>
      <c r="O146" s="26"/>
    </row>
    <row r="147" customFormat="false" ht="29.85" hidden="false" customHeight="false" outlineLevel="0" collapsed="false">
      <c r="A147" s="12" t="s">
        <v>72</v>
      </c>
      <c r="B147" s="12" t="s">
        <v>583</v>
      </c>
      <c r="C147" s="13" t="s">
        <v>74</v>
      </c>
      <c r="D147" s="23" t="s">
        <v>104</v>
      </c>
      <c r="E147" s="12" t="s">
        <v>590</v>
      </c>
      <c r="F147" s="12" t="s">
        <v>468</v>
      </c>
      <c r="G147" s="24"/>
      <c r="H147" s="12"/>
      <c r="I147" s="24" t="s">
        <v>469</v>
      </c>
      <c r="J147" s="12" t="s">
        <v>127</v>
      </c>
      <c r="K147" s="25" t="s">
        <v>111</v>
      </c>
      <c r="L147" s="26"/>
      <c r="M147" s="26"/>
      <c r="N147" s="26"/>
      <c r="O147" s="26"/>
    </row>
    <row r="148" customFormat="false" ht="44" hidden="false" customHeight="false" outlineLevel="0" collapsed="false">
      <c r="A148" s="12" t="s">
        <v>72</v>
      </c>
      <c r="B148" s="12" t="s">
        <v>583</v>
      </c>
      <c r="C148" s="13" t="s">
        <v>74</v>
      </c>
      <c r="D148" s="23" t="s">
        <v>104</v>
      </c>
      <c r="E148" s="12" t="s">
        <v>591</v>
      </c>
      <c r="F148" s="13" t="s">
        <v>471</v>
      </c>
      <c r="G148" s="24" t="s">
        <v>472</v>
      </c>
      <c r="H148" s="13" t="s">
        <v>473</v>
      </c>
      <c r="I148" s="24" t="s">
        <v>151</v>
      </c>
      <c r="J148" s="12" t="s">
        <v>127</v>
      </c>
      <c r="K148" s="25" t="s">
        <v>111</v>
      </c>
      <c r="L148" s="26"/>
      <c r="M148" s="26"/>
      <c r="N148" s="26"/>
      <c r="O148" s="26"/>
    </row>
    <row r="149" customFormat="false" ht="29.85" hidden="false" customHeight="false" outlineLevel="0" collapsed="false">
      <c r="A149" s="12" t="s">
        <v>72</v>
      </c>
      <c r="B149" s="12" t="s">
        <v>583</v>
      </c>
      <c r="C149" s="13" t="s">
        <v>74</v>
      </c>
      <c r="D149" s="23" t="s">
        <v>104</v>
      </c>
      <c r="E149" s="12" t="s">
        <v>592</v>
      </c>
      <c r="F149" s="13" t="s">
        <v>475</v>
      </c>
      <c r="G149" s="24"/>
      <c r="H149" s="12"/>
      <c r="I149" s="24" t="s">
        <v>151</v>
      </c>
      <c r="J149" s="12" t="s">
        <v>205</v>
      </c>
      <c r="K149" s="25" t="s">
        <v>111</v>
      </c>
      <c r="L149" s="26"/>
      <c r="M149" s="26"/>
      <c r="N149" s="26"/>
      <c r="O149" s="26"/>
    </row>
    <row r="150" customFormat="false" ht="29.85" hidden="false" customHeight="false" outlineLevel="0" collapsed="false">
      <c r="A150" s="12" t="s">
        <v>72</v>
      </c>
      <c r="B150" s="12" t="s">
        <v>583</v>
      </c>
      <c r="C150" s="13" t="s">
        <v>74</v>
      </c>
      <c r="D150" s="23" t="s">
        <v>104</v>
      </c>
      <c r="E150" s="12" t="s">
        <v>593</v>
      </c>
      <c r="F150" s="12" t="s">
        <v>477</v>
      </c>
      <c r="G150" s="24" t="s">
        <v>478</v>
      </c>
      <c r="H150" s="13" t="s">
        <v>479</v>
      </c>
      <c r="I150" s="24" t="s">
        <v>480</v>
      </c>
      <c r="J150" s="12" t="s">
        <v>205</v>
      </c>
      <c r="K150" s="25" t="s">
        <v>111</v>
      </c>
      <c r="L150" s="26"/>
      <c r="M150" s="26"/>
      <c r="N150" s="26"/>
      <c r="O150" s="26"/>
    </row>
    <row r="151" customFormat="false" ht="29.85" hidden="false" customHeight="false" outlineLevel="0" collapsed="false">
      <c r="A151" s="12" t="s">
        <v>72</v>
      </c>
      <c r="B151" s="12" t="s">
        <v>583</v>
      </c>
      <c r="C151" s="13" t="s">
        <v>74</v>
      </c>
      <c r="D151" s="23" t="s">
        <v>104</v>
      </c>
      <c r="E151" s="12" t="s">
        <v>594</v>
      </c>
      <c r="F151" s="13" t="s">
        <v>482</v>
      </c>
      <c r="G151" s="24"/>
      <c r="H151" s="12"/>
      <c r="I151" s="24" t="s">
        <v>162</v>
      </c>
      <c r="J151" s="12" t="s">
        <v>127</v>
      </c>
      <c r="K151" s="25" t="s">
        <v>111</v>
      </c>
      <c r="L151" s="26"/>
      <c r="M151" s="26"/>
      <c r="N151" s="26"/>
      <c r="O151" s="26"/>
    </row>
    <row r="152" customFormat="false" ht="41" hidden="false" customHeight="false" outlineLevel="0" collapsed="false">
      <c r="A152" s="12" t="s">
        <v>72</v>
      </c>
      <c r="B152" s="12" t="s">
        <v>583</v>
      </c>
      <c r="C152" s="13" t="s">
        <v>74</v>
      </c>
      <c r="D152" s="27" t="s">
        <v>168</v>
      </c>
      <c r="E152" s="12" t="s">
        <v>595</v>
      </c>
      <c r="F152" s="12" t="s">
        <v>484</v>
      </c>
      <c r="G152" s="24" t="s">
        <v>485</v>
      </c>
      <c r="H152" s="12" t="s">
        <v>486</v>
      </c>
      <c r="I152" s="24" t="s">
        <v>151</v>
      </c>
      <c r="J152" s="12" t="s">
        <v>205</v>
      </c>
      <c r="K152" s="25" t="s">
        <v>111</v>
      </c>
      <c r="L152" s="26"/>
      <c r="M152" s="26"/>
      <c r="N152" s="26"/>
      <c r="O152" s="26"/>
    </row>
    <row r="153" customFormat="false" ht="29.85" hidden="false" customHeight="false" outlineLevel="0" collapsed="false">
      <c r="A153" s="12" t="s">
        <v>72</v>
      </c>
      <c r="B153" s="12" t="s">
        <v>583</v>
      </c>
      <c r="C153" s="13" t="s">
        <v>74</v>
      </c>
      <c r="D153" s="27" t="s">
        <v>168</v>
      </c>
      <c r="E153" s="12" t="s">
        <v>596</v>
      </c>
      <c r="F153" s="13" t="s">
        <v>488</v>
      </c>
      <c r="G153" s="24"/>
      <c r="H153" s="12"/>
      <c r="I153" s="24" t="s">
        <v>151</v>
      </c>
      <c r="J153" s="12" t="s">
        <v>205</v>
      </c>
      <c r="K153" s="25" t="s">
        <v>111</v>
      </c>
      <c r="L153" s="26"/>
      <c r="M153" s="26"/>
      <c r="N153" s="26"/>
      <c r="O153" s="26"/>
    </row>
    <row r="154" customFormat="false" ht="29.85" hidden="false" customHeight="false" outlineLevel="0" collapsed="false">
      <c r="A154" s="12" t="s">
        <v>72</v>
      </c>
      <c r="B154" s="12" t="s">
        <v>583</v>
      </c>
      <c r="C154" s="13" t="s">
        <v>74</v>
      </c>
      <c r="D154" s="28" t="s">
        <v>173</v>
      </c>
      <c r="E154" s="12" t="s">
        <v>597</v>
      </c>
      <c r="F154" s="13" t="s">
        <v>490</v>
      </c>
      <c r="G154" s="24" t="s">
        <v>491</v>
      </c>
      <c r="H154" s="13" t="s">
        <v>357</v>
      </c>
      <c r="I154" s="24"/>
      <c r="J154" s="12" t="s">
        <v>127</v>
      </c>
      <c r="K154" s="25" t="s">
        <v>111</v>
      </c>
      <c r="L154" s="26"/>
      <c r="M154" s="26"/>
      <c r="N154" s="26"/>
      <c r="O154" s="26"/>
    </row>
    <row r="155" customFormat="false" ht="29.85" hidden="false" customHeight="false" outlineLevel="0" collapsed="false">
      <c r="A155" s="12" t="s">
        <v>72</v>
      </c>
      <c r="B155" s="12" t="s">
        <v>583</v>
      </c>
      <c r="C155" s="13" t="s">
        <v>74</v>
      </c>
      <c r="D155" s="29" t="s">
        <v>178</v>
      </c>
      <c r="E155" s="12" t="s">
        <v>598</v>
      </c>
      <c r="F155" s="12" t="s">
        <v>493</v>
      </c>
      <c r="G155" s="24"/>
      <c r="H155" s="12"/>
      <c r="I155" s="24" t="s">
        <v>494</v>
      </c>
      <c r="J155" s="12" t="s">
        <v>205</v>
      </c>
      <c r="K155" s="25" t="s">
        <v>111</v>
      </c>
      <c r="L155" s="26"/>
      <c r="M155" s="26"/>
      <c r="N155" s="26"/>
      <c r="O155" s="26"/>
    </row>
    <row r="156" customFormat="false" ht="29.85" hidden="false" customHeight="false" outlineLevel="0" collapsed="false">
      <c r="A156" s="12" t="s">
        <v>72</v>
      </c>
      <c r="B156" s="12" t="s">
        <v>583</v>
      </c>
      <c r="C156" s="13" t="s">
        <v>74</v>
      </c>
      <c r="D156" s="29" t="s">
        <v>178</v>
      </c>
      <c r="E156" s="12" t="s">
        <v>599</v>
      </c>
      <c r="F156" s="12" t="s">
        <v>496</v>
      </c>
      <c r="G156" s="24"/>
      <c r="H156" s="12"/>
      <c r="I156" s="24" t="s">
        <v>151</v>
      </c>
      <c r="J156" s="12" t="s">
        <v>127</v>
      </c>
      <c r="K156" s="25" t="s">
        <v>111</v>
      </c>
      <c r="L156" s="26"/>
      <c r="M156" s="26"/>
      <c r="N156" s="26"/>
      <c r="O156" s="26"/>
    </row>
    <row r="157" customFormat="false" ht="45.75" hidden="false" customHeight="true" outlineLevel="0" collapsed="false">
      <c r="A157" s="38" t="s">
        <v>75</v>
      </c>
      <c r="B157" s="38" t="s">
        <v>600</v>
      </c>
      <c r="C157" s="39" t="s">
        <v>74</v>
      </c>
      <c r="D157" s="39" t="s">
        <v>39</v>
      </c>
      <c r="E157" s="38"/>
      <c r="F157" s="40" t="s">
        <v>601</v>
      </c>
      <c r="G157" s="38"/>
      <c r="H157" s="38"/>
      <c r="I157" s="38"/>
      <c r="J157" s="38"/>
      <c r="K157" s="38"/>
      <c r="L157" s="38"/>
      <c r="M157" s="38"/>
      <c r="N157" s="38"/>
      <c r="O157" s="38"/>
    </row>
    <row r="158" customFormat="false" ht="29.85" hidden="false" customHeight="false" outlineLevel="0" collapsed="false">
      <c r="A158" s="12" t="s">
        <v>75</v>
      </c>
      <c r="B158" s="12" t="s">
        <v>600</v>
      </c>
      <c r="C158" s="13" t="s">
        <v>74</v>
      </c>
      <c r="D158" s="23" t="s">
        <v>104</v>
      </c>
      <c r="E158" s="12" t="s">
        <v>602</v>
      </c>
      <c r="F158" s="13" t="s">
        <v>500</v>
      </c>
      <c r="G158" s="24"/>
      <c r="H158" s="12"/>
      <c r="I158" s="24"/>
      <c r="J158" s="12" t="s">
        <v>157</v>
      </c>
      <c r="K158" s="25" t="s">
        <v>111</v>
      </c>
      <c r="L158" s="26"/>
      <c r="M158" s="26"/>
      <c r="N158" s="26"/>
      <c r="O158" s="26"/>
    </row>
    <row r="159" customFormat="false" ht="15" hidden="false" customHeight="false" outlineLevel="0" collapsed="false">
      <c r="A159" s="12" t="s">
        <v>75</v>
      </c>
      <c r="B159" s="12" t="s">
        <v>600</v>
      </c>
      <c r="C159" s="13" t="s">
        <v>74</v>
      </c>
      <c r="D159" s="23" t="s">
        <v>104</v>
      </c>
      <c r="E159" s="12" t="s">
        <v>603</v>
      </c>
      <c r="F159" s="12" t="s">
        <v>502</v>
      </c>
      <c r="G159" s="24" t="s">
        <v>503</v>
      </c>
      <c r="H159" s="13" t="s">
        <v>504</v>
      </c>
      <c r="I159" s="24" t="s">
        <v>505</v>
      </c>
      <c r="J159" s="12" t="s">
        <v>157</v>
      </c>
      <c r="K159" s="25" t="s">
        <v>111</v>
      </c>
      <c r="L159" s="26"/>
      <c r="M159" s="26"/>
      <c r="N159" s="26"/>
      <c r="O159" s="26"/>
    </row>
    <row r="160" customFormat="false" ht="29.85" hidden="false" customHeight="false" outlineLevel="0" collapsed="false">
      <c r="A160" s="12" t="s">
        <v>75</v>
      </c>
      <c r="B160" s="12" t="s">
        <v>600</v>
      </c>
      <c r="C160" s="13" t="s">
        <v>74</v>
      </c>
      <c r="D160" s="27" t="s">
        <v>168</v>
      </c>
      <c r="E160" s="12" t="s">
        <v>604</v>
      </c>
      <c r="F160" s="13" t="s">
        <v>507</v>
      </c>
      <c r="G160" s="24" t="s">
        <v>508</v>
      </c>
      <c r="H160" s="13" t="s">
        <v>466</v>
      </c>
      <c r="I160" s="24" t="s">
        <v>509</v>
      </c>
      <c r="J160" s="12" t="s">
        <v>157</v>
      </c>
      <c r="K160" s="25" t="s">
        <v>111</v>
      </c>
      <c r="L160" s="26"/>
      <c r="M160" s="26"/>
      <c r="N160" s="26"/>
      <c r="O160" s="26"/>
    </row>
    <row r="161" customFormat="false" ht="23.85" hidden="false" customHeight="false" outlineLevel="0" collapsed="false">
      <c r="A161" s="12" t="s">
        <v>75</v>
      </c>
      <c r="B161" s="12" t="s">
        <v>600</v>
      </c>
      <c r="C161" s="13" t="s">
        <v>74</v>
      </c>
      <c r="D161" s="27" t="s">
        <v>168</v>
      </c>
      <c r="E161" s="12" t="s">
        <v>605</v>
      </c>
      <c r="F161" s="12" t="s">
        <v>511</v>
      </c>
      <c r="G161" s="24" t="s">
        <v>512</v>
      </c>
      <c r="H161" s="12" t="s">
        <v>304</v>
      </c>
      <c r="I161" s="24" t="s">
        <v>513</v>
      </c>
      <c r="J161" s="12" t="s">
        <v>157</v>
      </c>
      <c r="K161" s="25" t="s">
        <v>111</v>
      </c>
      <c r="L161" s="26"/>
      <c r="M161" s="26"/>
      <c r="N161" s="26"/>
      <c r="O161" s="26"/>
    </row>
    <row r="162" customFormat="false" ht="29.85" hidden="false" customHeight="false" outlineLevel="0" collapsed="false">
      <c r="A162" s="12" t="s">
        <v>75</v>
      </c>
      <c r="B162" s="12" t="s">
        <v>600</v>
      </c>
      <c r="C162" s="13" t="s">
        <v>74</v>
      </c>
      <c r="D162" s="27" t="s">
        <v>168</v>
      </c>
      <c r="E162" s="12" t="s">
        <v>606</v>
      </c>
      <c r="F162" s="13" t="s">
        <v>515</v>
      </c>
      <c r="G162" s="24" t="s">
        <v>516</v>
      </c>
      <c r="H162" s="12"/>
      <c r="I162" s="33" t="s">
        <v>517</v>
      </c>
      <c r="J162" s="12" t="s">
        <v>157</v>
      </c>
      <c r="K162" s="25" t="s">
        <v>111</v>
      </c>
      <c r="L162" s="26"/>
      <c r="M162" s="26"/>
      <c r="N162" s="26"/>
      <c r="O162" s="26"/>
    </row>
    <row r="163" customFormat="false" ht="29.85" hidden="false" customHeight="false" outlineLevel="0" collapsed="false">
      <c r="A163" s="12" t="s">
        <v>75</v>
      </c>
      <c r="B163" s="12" t="s">
        <v>600</v>
      </c>
      <c r="C163" s="13" t="s">
        <v>74</v>
      </c>
      <c r="D163" s="28" t="s">
        <v>173</v>
      </c>
      <c r="E163" s="12" t="s">
        <v>607</v>
      </c>
      <c r="F163" s="12" t="s">
        <v>519</v>
      </c>
      <c r="G163" s="24" t="s">
        <v>512</v>
      </c>
      <c r="H163" s="13" t="s">
        <v>357</v>
      </c>
      <c r="I163" s="24"/>
      <c r="J163" s="12" t="s">
        <v>157</v>
      </c>
      <c r="K163" s="25" t="s">
        <v>111</v>
      </c>
      <c r="L163" s="26"/>
      <c r="M163" s="26"/>
      <c r="N163" s="26"/>
      <c r="O163" s="26"/>
    </row>
    <row r="164" customFormat="false" ht="15" hidden="false" customHeight="false" outlineLevel="0" collapsed="false">
      <c r="A164" s="12" t="s">
        <v>75</v>
      </c>
      <c r="B164" s="12" t="s">
        <v>600</v>
      </c>
      <c r="C164" s="13" t="s">
        <v>74</v>
      </c>
      <c r="D164" s="28" t="s">
        <v>173</v>
      </c>
      <c r="E164" s="12" t="s">
        <v>608</v>
      </c>
      <c r="F164" s="12" t="s">
        <v>609</v>
      </c>
      <c r="G164" s="24" t="s">
        <v>522</v>
      </c>
      <c r="H164" s="12" t="s">
        <v>523</v>
      </c>
      <c r="I164" s="24"/>
      <c r="J164" s="12" t="s">
        <v>157</v>
      </c>
      <c r="K164" s="25" t="s">
        <v>111</v>
      </c>
      <c r="L164" s="26"/>
      <c r="M164" s="26"/>
      <c r="N164" s="26"/>
      <c r="O164" s="26"/>
    </row>
    <row r="165" customFormat="false" ht="15" hidden="false" customHeight="false" outlineLevel="0" collapsed="false">
      <c r="A165" s="12" t="s">
        <v>75</v>
      </c>
      <c r="B165" s="12" t="s">
        <v>600</v>
      </c>
      <c r="C165" s="13" t="s">
        <v>74</v>
      </c>
      <c r="D165" s="28" t="s">
        <v>173</v>
      </c>
      <c r="E165" s="12" t="s">
        <v>610</v>
      </c>
      <c r="F165" s="12" t="s">
        <v>521</v>
      </c>
      <c r="G165" s="24" t="s">
        <v>522</v>
      </c>
      <c r="H165" s="12" t="s">
        <v>523</v>
      </c>
      <c r="I165" s="24"/>
      <c r="J165" s="12" t="s">
        <v>157</v>
      </c>
      <c r="K165" s="25" t="s">
        <v>111</v>
      </c>
      <c r="L165" s="26"/>
      <c r="M165" s="26"/>
      <c r="N165" s="26"/>
      <c r="O165" s="26"/>
    </row>
    <row r="166" customFormat="false" ht="29.85" hidden="false" customHeight="false" outlineLevel="0" collapsed="false">
      <c r="A166" s="12" t="s">
        <v>75</v>
      </c>
      <c r="B166" s="12" t="s">
        <v>600</v>
      </c>
      <c r="C166" s="13" t="s">
        <v>74</v>
      </c>
      <c r="D166" s="29" t="s">
        <v>178</v>
      </c>
      <c r="E166" s="12" t="s">
        <v>611</v>
      </c>
      <c r="F166" s="12" t="s">
        <v>525</v>
      </c>
      <c r="G166" s="24"/>
      <c r="H166" s="12"/>
      <c r="I166" s="24" t="s">
        <v>526</v>
      </c>
      <c r="J166" s="12" t="s">
        <v>157</v>
      </c>
      <c r="K166" s="25" t="s">
        <v>111</v>
      </c>
      <c r="L166" s="26"/>
      <c r="M166" s="26"/>
      <c r="N166" s="26"/>
      <c r="O166" s="26"/>
    </row>
    <row r="167" customFormat="false" ht="45.75" hidden="false" customHeight="true" outlineLevel="0" collapsed="false">
      <c r="A167" s="38" t="s">
        <v>77</v>
      </c>
      <c r="B167" s="38" t="s">
        <v>612</v>
      </c>
      <c r="C167" s="39" t="s">
        <v>74</v>
      </c>
      <c r="D167" s="39" t="s">
        <v>39</v>
      </c>
      <c r="E167" s="38"/>
      <c r="F167" s="40" t="s">
        <v>613</v>
      </c>
      <c r="G167" s="38"/>
      <c r="H167" s="38"/>
      <c r="I167" s="38"/>
      <c r="J167" s="38"/>
      <c r="K167" s="38"/>
      <c r="L167" s="38"/>
      <c r="M167" s="38"/>
      <c r="N167" s="38"/>
      <c r="O167" s="38"/>
    </row>
    <row r="168" customFormat="false" ht="29.85" hidden="false" customHeight="false" outlineLevel="0" collapsed="false">
      <c r="A168" s="12" t="s">
        <v>77</v>
      </c>
      <c r="B168" s="12" t="s">
        <v>612</v>
      </c>
      <c r="C168" s="13" t="s">
        <v>74</v>
      </c>
      <c r="D168" s="23" t="s">
        <v>104</v>
      </c>
      <c r="E168" s="12" t="s">
        <v>614</v>
      </c>
      <c r="F168" s="12" t="s">
        <v>530</v>
      </c>
      <c r="G168" s="24"/>
      <c r="H168" s="12" t="s">
        <v>265</v>
      </c>
      <c r="I168" s="24" t="s">
        <v>531</v>
      </c>
      <c r="J168" s="12" t="s">
        <v>152</v>
      </c>
      <c r="K168" s="25" t="s">
        <v>111</v>
      </c>
      <c r="L168" s="26"/>
      <c r="M168" s="26"/>
      <c r="N168" s="26"/>
      <c r="O168" s="26"/>
    </row>
    <row r="169" customFormat="false" ht="44" hidden="false" customHeight="false" outlineLevel="0" collapsed="false">
      <c r="A169" s="12" t="s">
        <v>77</v>
      </c>
      <c r="B169" s="12" t="s">
        <v>612</v>
      </c>
      <c r="C169" s="13" t="s">
        <v>74</v>
      </c>
      <c r="D169" s="23" t="s">
        <v>104</v>
      </c>
      <c r="E169" s="12" t="s">
        <v>615</v>
      </c>
      <c r="F169" s="12" t="s">
        <v>533</v>
      </c>
      <c r="G169" s="24"/>
      <c r="H169" s="13" t="s">
        <v>136</v>
      </c>
      <c r="I169" s="24" t="s">
        <v>534</v>
      </c>
      <c r="J169" s="12" t="s">
        <v>127</v>
      </c>
      <c r="K169" s="25" t="s">
        <v>111</v>
      </c>
      <c r="L169" s="26"/>
      <c r="M169" s="26"/>
      <c r="N169" s="26"/>
      <c r="O169" s="26"/>
    </row>
    <row r="170" customFormat="false" ht="29.85" hidden="false" customHeight="false" outlineLevel="0" collapsed="false">
      <c r="A170" s="12" t="s">
        <v>77</v>
      </c>
      <c r="B170" s="12" t="s">
        <v>612</v>
      </c>
      <c r="C170" s="13" t="s">
        <v>74</v>
      </c>
      <c r="D170" s="23" t="s">
        <v>104</v>
      </c>
      <c r="E170" s="12" t="s">
        <v>616</v>
      </c>
      <c r="F170" s="13" t="s">
        <v>536</v>
      </c>
      <c r="G170" s="24" t="s">
        <v>537</v>
      </c>
      <c r="H170" s="12" t="s">
        <v>538</v>
      </c>
      <c r="I170" s="24" t="s">
        <v>151</v>
      </c>
      <c r="J170" s="12" t="s">
        <v>205</v>
      </c>
      <c r="K170" s="25" t="s">
        <v>111</v>
      </c>
      <c r="L170" s="26"/>
      <c r="M170" s="26"/>
      <c r="N170" s="26"/>
      <c r="O170" s="26"/>
    </row>
    <row r="171" customFormat="false" ht="29.85" hidden="false" customHeight="false" outlineLevel="0" collapsed="false">
      <c r="A171" s="12" t="s">
        <v>77</v>
      </c>
      <c r="B171" s="12" t="s">
        <v>612</v>
      </c>
      <c r="C171" s="13" t="s">
        <v>74</v>
      </c>
      <c r="D171" s="23" t="s">
        <v>104</v>
      </c>
      <c r="E171" s="12" t="s">
        <v>617</v>
      </c>
      <c r="F171" s="12" t="s">
        <v>540</v>
      </c>
      <c r="G171" s="24"/>
      <c r="H171" s="12"/>
      <c r="I171" s="24" t="s">
        <v>541</v>
      </c>
      <c r="J171" s="12" t="s">
        <v>143</v>
      </c>
      <c r="K171" s="25" t="s">
        <v>111</v>
      </c>
      <c r="L171" s="26"/>
      <c r="M171" s="26"/>
      <c r="N171" s="26"/>
      <c r="O171" s="26"/>
    </row>
    <row r="172" customFormat="false" ht="35.05" hidden="false" customHeight="false" outlineLevel="0" collapsed="false">
      <c r="A172" s="12" t="s">
        <v>77</v>
      </c>
      <c r="B172" s="12" t="s">
        <v>612</v>
      </c>
      <c r="C172" s="13" t="s">
        <v>74</v>
      </c>
      <c r="D172" s="27" t="s">
        <v>168</v>
      </c>
      <c r="E172" s="12" t="s">
        <v>618</v>
      </c>
      <c r="F172" s="12" t="s">
        <v>543</v>
      </c>
      <c r="G172" s="24" t="s">
        <v>544</v>
      </c>
      <c r="H172" s="12" t="s">
        <v>545</v>
      </c>
      <c r="I172" s="24" t="s">
        <v>541</v>
      </c>
      <c r="J172" s="12" t="s">
        <v>205</v>
      </c>
      <c r="K172" s="25" t="s">
        <v>111</v>
      </c>
      <c r="L172" s="26"/>
      <c r="M172" s="26"/>
      <c r="N172" s="26"/>
      <c r="O172" s="26"/>
    </row>
    <row r="173" customFormat="false" ht="29.85" hidden="false" customHeight="false" outlineLevel="0" collapsed="false">
      <c r="A173" s="12" t="s">
        <v>77</v>
      </c>
      <c r="B173" s="12" t="s">
        <v>612</v>
      </c>
      <c r="C173" s="13" t="s">
        <v>74</v>
      </c>
      <c r="D173" s="27" t="s">
        <v>168</v>
      </c>
      <c r="E173" s="12" t="s">
        <v>619</v>
      </c>
      <c r="F173" s="12" t="s">
        <v>547</v>
      </c>
      <c r="G173" s="24"/>
      <c r="H173" s="12"/>
      <c r="I173" s="24" t="s">
        <v>548</v>
      </c>
      <c r="J173" s="12" t="s">
        <v>152</v>
      </c>
      <c r="K173" s="25" t="s">
        <v>111</v>
      </c>
      <c r="L173" s="26"/>
      <c r="M173" s="26"/>
      <c r="N173" s="26"/>
      <c r="O173" s="26"/>
    </row>
    <row r="174" customFormat="false" ht="29.85" hidden="false" customHeight="false" outlineLevel="0" collapsed="false">
      <c r="A174" s="12" t="s">
        <v>77</v>
      </c>
      <c r="B174" s="12" t="s">
        <v>612</v>
      </c>
      <c r="C174" s="13" t="s">
        <v>74</v>
      </c>
      <c r="D174" s="28" t="s">
        <v>173</v>
      </c>
      <c r="E174" s="12" t="s">
        <v>620</v>
      </c>
      <c r="F174" s="12" t="s">
        <v>550</v>
      </c>
      <c r="G174" s="24" t="s">
        <v>551</v>
      </c>
      <c r="H174" s="12" t="s">
        <v>353</v>
      </c>
      <c r="I174" s="24" t="s">
        <v>151</v>
      </c>
      <c r="J174" s="12" t="s">
        <v>205</v>
      </c>
      <c r="K174" s="25" t="s">
        <v>111</v>
      </c>
      <c r="L174" s="26"/>
      <c r="M174" s="26"/>
      <c r="N174" s="26"/>
      <c r="O174" s="26"/>
    </row>
    <row r="175" customFormat="false" ht="15" hidden="false" customHeight="false" outlineLevel="0" collapsed="false">
      <c r="A175" s="12" t="s">
        <v>77</v>
      </c>
      <c r="B175" s="12" t="s">
        <v>612</v>
      </c>
      <c r="C175" s="13" t="s">
        <v>74</v>
      </c>
      <c r="D175" s="28" t="s">
        <v>173</v>
      </c>
      <c r="E175" s="12" t="s">
        <v>621</v>
      </c>
      <c r="F175" s="12" t="s">
        <v>553</v>
      </c>
      <c r="G175" s="24"/>
      <c r="H175" s="13" t="s">
        <v>393</v>
      </c>
      <c r="I175" s="24"/>
      <c r="J175" s="12" t="s">
        <v>157</v>
      </c>
      <c r="K175" s="25" t="s">
        <v>111</v>
      </c>
      <c r="L175" s="26"/>
      <c r="M175" s="26"/>
      <c r="N175" s="26"/>
      <c r="O175" s="26"/>
    </row>
    <row r="176" customFormat="false" ht="44" hidden="false" customHeight="false" outlineLevel="0" collapsed="false">
      <c r="A176" s="12" t="s">
        <v>77</v>
      </c>
      <c r="B176" s="12" t="s">
        <v>612</v>
      </c>
      <c r="C176" s="13" t="s">
        <v>74</v>
      </c>
      <c r="D176" s="29" t="s">
        <v>178</v>
      </c>
      <c r="E176" s="12" t="s">
        <v>622</v>
      </c>
      <c r="F176" s="34" t="s">
        <v>555</v>
      </c>
      <c r="G176" s="24"/>
      <c r="H176" s="12"/>
      <c r="I176" s="24" t="s">
        <v>556</v>
      </c>
      <c r="J176" s="12" t="s">
        <v>177</v>
      </c>
      <c r="K176" s="25" t="s">
        <v>111</v>
      </c>
      <c r="L176" s="26"/>
      <c r="M176" s="26"/>
      <c r="N176" s="26"/>
      <c r="O176" s="26"/>
    </row>
    <row r="177" customFormat="false" ht="45.75" hidden="false" customHeight="true" outlineLevel="0" collapsed="false">
      <c r="A177" s="38" t="s">
        <v>79</v>
      </c>
      <c r="B177" s="38" t="s">
        <v>623</v>
      </c>
      <c r="C177" s="39" t="s">
        <v>74</v>
      </c>
      <c r="D177" s="39" t="s">
        <v>39</v>
      </c>
      <c r="E177" s="38"/>
      <c r="F177" s="40" t="s">
        <v>624</v>
      </c>
      <c r="G177" s="38"/>
      <c r="H177" s="38"/>
      <c r="I177" s="38"/>
      <c r="J177" s="38"/>
      <c r="K177" s="38"/>
      <c r="L177" s="38"/>
      <c r="M177" s="38"/>
      <c r="N177" s="38"/>
      <c r="O177" s="38"/>
    </row>
    <row r="178" customFormat="false" ht="29.85" hidden="false" customHeight="false" outlineLevel="0" collapsed="false">
      <c r="A178" s="12" t="s">
        <v>79</v>
      </c>
      <c r="B178" s="12" t="s">
        <v>625</v>
      </c>
      <c r="C178" s="13" t="s">
        <v>74</v>
      </c>
      <c r="D178" s="23" t="s">
        <v>104</v>
      </c>
      <c r="E178" s="12" t="s">
        <v>626</v>
      </c>
      <c r="F178" s="12" t="s">
        <v>561</v>
      </c>
      <c r="G178" s="24"/>
      <c r="H178" s="12"/>
      <c r="I178" s="24" t="s">
        <v>562</v>
      </c>
      <c r="J178" s="12" t="s">
        <v>127</v>
      </c>
      <c r="K178" s="25" t="s">
        <v>111</v>
      </c>
      <c r="L178" s="26"/>
      <c r="M178" s="26"/>
      <c r="N178" s="26"/>
      <c r="O178" s="26"/>
    </row>
    <row r="179" customFormat="false" ht="29.85" hidden="false" customHeight="false" outlineLevel="0" collapsed="false">
      <c r="A179" s="12" t="s">
        <v>79</v>
      </c>
      <c r="B179" s="12" t="s">
        <v>625</v>
      </c>
      <c r="C179" s="13" t="s">
        <v>74</v>
      </c>
      <c r="D179" s="23" t="s">
        <v>104</v>
      </c>
      <c r="E179" s="12" t="s">
        <v>627</v>
      </c>
      <c r="F179" s="12" t="s">
        <v>564</v>
      </c>
      <c r="G179" s="24" t="s">
        <v>565</v>
      </c>
      <c r="H179" s="12" t="s">
        <v>566</v>
      </c>
      <c r="I179" s="24"/>
      <c r="J179" s="12" t="s">
        <v>127</v>
      </c>
      <c r="K179" s="25" t="s">
        <v>111</v>
      </c>
      <c r="L179" s="26"/>
      <c r="M179" s="26"/>
      <c r="N179" s="26"/>
      <c r="O179" s="26"/>
    </row>
    <row r="180" customFormat="false" ht="15" hidden="false" customHeight="false" outlineLevel="0" collapsed="false">
      <c r="A180" s="12" t="s">
        <v>79</v>
      </c>
      <c r="B180" s="12" t="s">
        <v>625</v>
      </c>
      <c r="C180" s="13" t="s">
        <v>74</v>
      </c>
      <c r="D180" s="23" t="s">
        <v>104</v>
      </c>
      <c r="E180" s="12" t="s">
        <v>628</v>
      </c>
      <c r="F180" s="12" t="s">
        <v>568</v>
      </c>
      <c r="G180" s="24"/>
      <c r="H180" s="12"/>
      <c r="I180" s="24" t="s">
        <v>569</v>
      </c>
      <c r="J180" s="12" t="s">
        <v>152</v>
      </c>
      <c r="K180" s="25" t="s">
        <v>111</v>
      </c>
      <c r="L180" s="26"/>
      <c r="M180" s="26"/>
      <c r="N180" s="26"/>
      <c r="O180" s="26"/>
    </row>
    <row r="181" customFormat="false" ht="29.85" hidden="false" customHeight="false" outlineLevel="0" collapsed="false">
      <c r="A181" s="12" t="s">
        <v>79</v>
      </c>
      <c r="B181" s="12" t="s">
        <v>625</v>
      </c>
      <c r="C181" s="13" t="s">
        <v>74</v>
      </c>
      <c r="D181" s="27" t="s">
        <v>168</v>
      </c>
      <c r="E181" s="12" t="s">
        <v>629</v>
      </c>
      <c r="F181" s="12" t="s">
        <v>571</v>
      </c>
      <c r="G181" s="24" t="s">
        <v>572</v>
      </c>
      <c r="H181" s="12"/>
      <c r="I181" s="24" t="s">
        <v>562</v>
      </c>
      <c r="J181" s="12" t="s">
        <v>205</v>
      </c>
      <c r="K181" s="25" t="s">
        <v>111</v>
      </c>
      <c r="L181" s="26"/>
      <c r="M181" s="26"/>
      <c r="N181" s="26"/>
      <c r="O181" s="26"/>
    </row>
    <row r="182" customFormat="false" ht="26.85" hidden="false" customHeight="false" outlineLevel="0" collapsed="false">
      <c r="A182" s="12" t="s">
        <v>79</v>
      </c>
      <c r="B182" s="12" t="s">
        <v>625</v>
      </c>
      <c r="C182" s="13" t="s">
        <v>74</v>
      </c>
      <c r="D182" s="28" t="s">
        <v>173</v>
      </c>
      <c r="E182" s="12" t="s">
        <v>630</v>
      </c>
      <c r="F182" s="12" t="s">
        <v>574</v>
      </c>
      <c r="G182" s="24"/>
      <c r="H182" s="13" t="s">
        <v>357</v>
      </c>
      <c r="I182" s="24"/>
      <c r="J182" s="12" t="s">
        <v>127</v>
      </c>
      <c r="K182" s="25" t="s">
        <v>111</v>
      </c>
      <c r="L182" s="26"/>
      <c r="M182" s="26"/>
      <c r="N182" s="26"/>
      <c r="O182" s="26"/>
    </row>
    <row r="183" customFormat="false" ht="15" hidden="false" customHeight="false" outlineLevel="0" collapsed="false">
      <c r="A183" s="12" t="s">
        <v>79</v>
      </c>
      <c r="B183" s="12" t="s">
        <v>625</v>
      </c>
      <c r="C183" s="13" t="s">
        <v>74</v>
      </c>
      <c r="D183" s="28" t="s">
        <v>173</v>
      </c>
      <c r="E183" s="12" t="s">
        <v>631</v>
      </c>
      <c r="F183" s="12" t="s">
        <v>576</v>
      </c>
      <c r="G183" s="24"/>
      <c r="H183" s="13" t="s">
        <v>466</v>
      </c>
      <c r="I183" s="24"/>
      <c r="J183" s="12" t="s">
        <v>577</v>
      </c>
      <c r="K183" s="25" t="s">
        <v>111</v>
      </c>
      <c r="L183" s="26"/>
      <c r="M183" s="26"/>
      <c r="N183" s="26"/>
      <c r="O183" s="26"/>
    </row>
    <row r="184" customFormat="false" ht="29.85" hidden="false" customHeight="false" outlineLevel="0" collapsed="false">
      <c r="A184" s="12" t="s">
        <v>79</v>
      </c>
      <c r="B184" s="12" t="s">
        <v>625</v>
      </c>
      <c r="C184" s="13" t="s">
        <v>74</v>
      </c>
      <c r="D184" s="29" t="s">
        <v>178</v>
      </c>
      <c r="E184" s="12" t="s">
        <v>632</v>
      </c>
      <c r="F184" s="13" t="s">
        <v>579</v>
      </c>
      <c r="G184" s="24"/>
      <c r="H184" s="12"/>
      <c r="I184" s="24" t="s">
        <v>580</v>
      </c>
      <c r="J184" s="12" t="s">
        <v>127</v>
      </c>
      <c r="K184" s="25" t="s">
        <v>111</v>
      </c>
      <c r="L184" s="26"/>
      <c r="M184" s="26"/>
      <c r="N184" s="26"/>
      <c r="O184" s="26"/>
    </row>
    <row r="185" customFormat="false" ht="45.75" hidden="false" customHeight="true" outlineLevel="0" collapsed="false">
      <c r="A185" s="41" t="s">
        <v>81</v>
      </c>
      <c r="B185" s="41" t="s">
        <v>633</v>
      </c>
      <c r="C185" s="42" t="s">
        <v>83</v>
      </c>
      <c r="D185" s="42" t="s">
        <v>39</v>
      </c>
      <c r="E185" s="41"/>
      <c r="F185" s="43" t="s">
        <v>634</v>
      </c>
      <c r="G185" s="41"/>
      <c r="H185" s="41"/>
      <c r="I185" s="41"/>
      <c r="J185" s="41"/>
      <c r="K185" s="41"/>
      <c r="L185" s="41"/>
      <c r="M185" s="41"/>
      <c r="N185" s="41"/>
      <c r="O185" s="41"/>
    </row>
    <row r="186" customFormat="false" ht="44" hidden="false" customHeight="false" outlineLevel="0" collapsed="false">
      <c r="A186" s="12" t="s">
        <v>81</v>
      </c>
      <c r="B186" s="12" t="s">
        <v>635</v>
      </c>
      <c r="C186" s="13" t="s">
        <v>83</v>
      </c>
      <c r="D186" s="23" t="s">
        <v>104</v>
      </c>
      <c r="E186" s="12" t="s">
        <v>636</v>
      </c>
      <c r="F186" s="13" t="s">
        <v>637</v>
      </c>
      <c r="G186" s="24"/>
      <c r="H186" s="13" t="s">
        <v>462</v>
      </c>
      <c r="I186" s="24" t="s">
        <v>638</v>
      </c>
      <c r="J186" s="12" t="s">
        <v>152</v>
      </c>
      <c r="K186" s="25" t="s">
        <v>111</v>
      </c>
      <c r="L186" s="26"/>
      <c r="M186" s="26"/>
      <c r="N186" s="26"/>
      <c r="O186" s="26"/>
    </row>
    <row r="187" customFormat="false" ht="29.85" hidden="false" customHeight="false" outlineLevel="0" collapsed="false">
      <c r="A187" s="12" t="s">
        <v>81</v>
      </c>
      <c r="B187" s="12" t="s">
        <v>635</v>
      </c>
      <c r="C187" s="13" t="s">
        <v>83</v>
      </c>
      <c r="D187" s="23" t="s">
        <v>104</v>
      </c>
      <c r="E187" s="12" t="s">
        <v>639</v>
      </c>
      <c r="F187" s="13" t="s">
        <v>640</v>
      </c>
      <c r="G187" s="24" t="s">
        <v>641</v>
      </c>
      <c r="H187" s="12"/>
      <c r="I187" s="24" t="s">
        <v>116</v>
      </c>
      <c r="J187" s="12" t="s">
        <v>110</v>
      </c>
      <c r="K187" s="25" t="s">
        <v>111</v>
      </c>
      <c r="L187" s="26"/>
      <c r="M187" s="26"/>
      <c r="N187" s="26"/>
      <c r="O187" s="26"/>
    </row>
    <row r="188" customFormat="false" ht="29.85" hidden="false" customHeight="false" outlineLevel="0" collapsed="false">
      <c r="A188" s="12" t="s">
        <v>81</v>
      </c>
      <c r="B188" s="12" t="s">
        <v>635</v>
      </c>
      <c r="C188" s="13" t="s">
        <v>83</v>
      </c>
      <c r="D188" s="23" t="s">
        <v>104</v>
      </c>
      <c r="E188" s="12" t="s">
        <v>642</v>
      </c>
      <c r="F188" s="13" t="s">
        <v>643</v>
      </c>
      <c r="G188" s="24" t="s">
        <v>644</v>
      </c>
      <c r="H188" s="13" t="s">
        <v>645</v>
      </c>
      <c r="I188" s="24"/>
      <c r="J188" s="12" t="s">
        <v>110</v>
      </c>
      <c r="K188" s="25" t="s">
        <v>111</v>
      </c>
      <c r="L188" s="26"/>
      <c r="M188" s="26"/>
      <c r="N188" s="26"/>
      <c r="O188" s="26"/>
    </row>
    <row r="189" customFormat="false" ht="29.85" hidden="false" customHeight="false" outlineLevel="0" collapsed="false">
      <c r="A189" s="12" t="s">
        <v>81</v>
      </c>
      <c r="B189" s="12" t="s">
        <v>635</v>
      </c>
      <c r="C189" s="13" t="s">
        <v>83</v>
      </c>
      <c r="D189" s="23" t="s">
        <v>104</v>
      </c>
      <c r="E189" s="12" t="s">
        <v>646</v>
      </c>
      <c r="F189" s="13" t="s">
        <v>647</v>
      </c>
      <c r="G189" s="24"/>
      <c r="H189" s="12"/>
      <c r="I189" s="24" t="s">
        <v>116</v>
      </c>
      <c r="J189" s="12" t="s">
        <v>205</v>
      </c>
      <c r="K189" s="25" t="s">
        <v>111</v>
      </c>
      <c r="L189" s="26"/>
      <c r="M189" s="26"/>
      <c r="N189" s="26"/>
      <c r="O189" s="26"/>
    </row>
    <row r="190" customFormat="false" ht="29.85" hidden="false" customHeight="false" outlineLevel="0" collapsed="false">
      <c r="A190" s="12" t="s">
        <v>81</v>
      </c>
      <c r="B190" s="12" t="s">
        <v>635</v>
      </c>
      <c r="C190" s="13" t="s">
        <v>83</v>
      </c>
      <c r="D190" s="23" t="s">
        <v>104</v>
      </c>
      <c r="E190" s="12" t="s">
        <v>648</v>
      </c>
      <c r="F190" s="12" t="s">
        <v>649</v>
      </c>
      <c r="G190" s="24"/>
      <c r="H190" s="12"/>
      <c r="I190" s="24" t="s">
        <v>116</v>
      </c>
      <c r="J190" s="12" t="s">
        <v>110</v>
      </c>
      <c r="K190" s="25" t="s">
        <v>111</v>
      </c>
      <c r="L190" s="26"/>
      <c r="M190" s="26"/>
      <c r="N190" s="26"/>
      <c r="O190" s="26"/>
    </row>
    <row r="191" customFormat="false" ht="29.85" hidden="false" customHeight="false" outlineLevel="0" collapsed="false">
      <c r="A191" s="12" t="s">
        <v>81</v>
      </c>
      <c r="B191" s="12" t="s">
        <v>635</v>
      </c>
      <c r="C191" s="13" t="s">
        <v>83</v>
      </c>
      <c r="D191" s="27" t="s">
        <v>168</v>
      </c>
      <c r="E191" s="12" t="s">
        <v>650</v>
      </c>
      <c r="F191" s="13" t="s">
        <v>651</v>
      </c>
      <c r="G191" s="24" t="s">
        <v>652</v>
      </c>
      <c r="H191" s="12" t="s">
        <v>653</v>
      </c>
      <c r="I191" s="24" t="s">
        <v>116</v>
      </c>
      <c r="J191" s="12" t="s">
        <v>205</v>
      </c>
      <c r="K191" s="25" t="s">
        <v>111</v>
      </c>
      <c r="L191" s="26"/>
      <c r="M191" s="26"/>
      <c r="N191" s="26"/>
      <c r="O191" s="26"/>
    </row>
    <row r="192" customFormat="false" ht="35.05" hidden="false" customHeight="false" outlineLevel="0" collapsed="false">
      <c r="A192" s="12" t="s">
        <v>81</v>
      </c>
      <c r="B192" s="12" t="s">
        <v>635</v>
      </c>
      <c r="C192" s="13" t="s">
        <v>83</v>
      </c>
      <c r="D192" s="27" t="s">
        <v>168</v>
      </c>
      <c r="E192" s="12" t="s">
        <v>654</v>
      </c>
      <c r="F192" s="13" t="s">
        <v>655</v>
      </c>
      <c r="G192" s="24" t="s">
        <v>656</v>
      </c>
      <c r="H192" s="12"/>
      <c r="I192" s="24" t="s">
        <v>657</v>
      </c>
      <c r="J192" s="12" t="s">
        <v>110</v>
      </c>
      <c r="K192" s="25" t="s">
        <v>111</v>
      </c>
      <c r="L192" s="26"/>
      <c r="M192" s="26"/>
      <c r="N192" s="26"/>
      <c r="O192" s="26"/>
    </row>
    <row r="193" customFormat="false" ht="29.85" hidden="false" customHeight="false" outlineLevel="0" collapsed="false">
      <c r="A193" s="12" t="s">
        <v>81</v>
      </c>
      <c r="B193" s="12" t="s">
        <v>635</v>
      </c>
      <c r="C193" s="13" t="s">
        <v>83</v>
      </c>
      <c r="D193" s="28" t="s">
        <v>173</v>
      </c>
      <c r="E193" s="12" t="s">
        <v>658</v>
      </c>
      <c r="F193" s="13" t="s">
        <v>659</v>
      </c>
      <c r="G193" s="24"/>
      <c r="H193" s="13" t="s">
        <v>357</v>
      </c>
      <c r="I193" s="24"/>
      <c r="J193" s="12" t="s">
        <v>110</v>
      </c>
      <c r="K193" s="25" t="s">
        <v>111</v>
      </c>
      <c r="L193" s="26"/>
      <c r="M193" s="26"/>
      <c r="N193" s="26"/>
      <c r="O193" s="26"/>
    </row>
    <row r="194" customFormat="false" ht="29.85" hidden="false" customHeight="false" outlineLevel="0" collapsed="false">
      <c r="A194" s="12" t="s">
        <v>81</v>
      </c>
      <c r="B194" s="12" t="s">
        <v>635</v>
      </c>
      <c r="C194" s="13" t="s">
        <v>83</v>
      </c>
      <c r="D194" s="29" t="s">
        <v>178</v>
      </c>
      <c r="E194" s="12" t="s">
        <v>660</v>
      </c>
      <c r="F194" s="12" t="s">
        <v>661</v>
      </c>
      <c r="G194" s="24"/>
      <c r="H194" s="12"/>
      <c r="I194" s="24"/>
      <c r="J194" s="12" t="s">
        <v>205</v>
      </c>
      <c r="K194" s="25" t="s">
        <v>111</v>
      </c>
      <c r="L194" s="26"/>
      <c r="M194" s="26"/>
      <c r="N194" s="26"/>
      <c r="O194" s="26"/>
    </row>
    <row r="195" customFormat="false" ht="45.75" hidden="false" customHeight="true" outlineLevel="0" collapsed="false">
      <c r="A195" s="41" t="s">
        <v>84</v>
      </c>
      <c r="B195" s="42" t="s">
        <v>102</v>
      </c>
      <c r="C195" s="42" t="s">
        <v>83</v>
      </c>
      <c r="D195" s="42" t="s">
        <v>39</v>
      </c>
      <c r="E195" s="41"/>
      <c r="F195" s="43" t="s">
        <v>662</v>
      </c>
      <c r="G195" s="41"/>
      <c r="H195" s="41"/>
      <c r="I195" s="41"/>
      <c r="J195" s="41"/>
      <c r="K195" s="41"/>
      <c r="L195" s="41"/>
      <c r="M195" s="41"/>
      <c r="N195" s="41"/>
      <c r="O195" s="41"/>
    </row>
    <row r="196" customFormat="false" ht="15" hidden="false" customHeight="false" outlineLevel="0" collapsed="false">
      <c r="A196" s="12" t="s">
        <v>84</v>
      </c>
      <c r="B196" s="13" t="s">
        <v>102</v>
      </c>
      <c r="C196" s="13" t="s">
        <v>83</v>
      </c>
      <c r="D196" s="23" t="s">
        <v>104</v>
      </c>
      <c r="E196" s="12" t="s">
        <v>663</v>
      </c>
      <c r="F196" s="13" t="s">
        <v>664</v>
      </c>
      <c r="G196" s="24"/>
      <c r="H196" s="13" t="s">
        <v>665</v>
      </c>
      <c r="I196" s="24"/>
      <c r="J196" s="12" t="s">
        <v>177</v>
      </c>
      <c r="K196" s="25" t="s">
        <v>111</v>
      </c>
      <c r="L196" s="26"/>
      <c r="M196" s="26"/>
      <c r="N196" s="26"/>
      <c r="O196" s="26"/>
    </row>
    <row r="197" customFormat="false" ht="23.85" hidden="false" customHeight="false" outlineLevel="0" collapsed="false">
      <c r="A197" s="12" t="s">
        <v>84</v>
      </c>
      <c r="B197" s="13" t="s">
        <v>102</v>
      </c>
      <c r="C197" s="13" t="s">
        <v>83</v>
      </c>
      <c r="D197" s="27" t="s">
        <v>168</v>
      </c>
      <c r="E197" s="12" t="s">
        <v>666</v>
      </c>
      <c r="F197" s="12" t="s">
        <v>667</v>
      </c>
      <c r="G197" s="24" t="s">
        <v>668</v>
      </c>
      <c r="H197" s="13" t="s">
        <v>42</v>
      </c>
      <c r="I197" s="24" t="s">
        <v>569</v>
      </c>
      <c r="J197" s="12" t="s">
        <v>127</v>
      </c>
      <c r="K197" s="25" t="s">
        <v>111</v>
      </c>
      <c r="L197" s="26"/>
      <c r="M197" s="26"/>
      <c r="N197" s="26"/>
      <c r="O197" s="26"/>
    </row>
    <row r="198" customFormat="false" ht="29.85" hidden="false" customHeight="false" outlineLevel="0" collapsed="false">
      <c r="A198" s="12" t="s">
        <v>84</v>
      </c>
      <c r="B198" s="13" t="s">
        <v>102</v>
      </c>
      <c r="C198" s="13" t="s">
        <v>83</v>
      </c>
      <c r="D198" s="27" t="s">
        <v>168</v>
      </c>
      <c r="E198" s="12" t="s">
        <v>669</v>
      </c>
      <c r="F198" s="12" t="s">
        <v>670</v>
      </c>
      <c r="G198" s="24"/>
      <c r="H198" s="12"/>
      <c r="I198" s="24"/>
      <c r="J198" s="12" t="s">
        <v>127</v>
      </c>
      <c r="K198" s="25" t="s">
        <v>111</v>
      </c>
      <c r="L198" s="26"/>
      <c r="M198" s="26"/>
      <c r="N198" s="26"/>
      <c r="O198" s="26"/>
    </row>
    <row r="199" customFormat="false" ht="29.85" hidden="false" customHeight="false" outlineLevel="0" collapsed="false">
      <c r="A199" s="12" t="s">
        <v>84</v>
      </c>
      <c r="B199" s="13" t="s">
        <v>102</v>
      </c>
      <c r="C199" s="13" t="s">
        <v>83</v>
      </c>
      <c r="D199" s="27" t="s">
        <v>168</v>
      </c>
      <c r="E199" s="12" t="s">
        <v>671</v>
      </c>
      <c r="F199" s="12" t="s">
        <v>672</v>
      </c>
      <c r="G199" s="24"/>
      <c r="H199" s="12"/>
      <c r="I199" s="24" t="s">
        <v>673</v>
      </c>
      <c r="J199" s="12" t="s">
        <v>152</v>
      </c>
      <c r="K199" s="25" t="s">
        <v>111</v>
      </c>
      <c r="L199" s="26"/>
      <c r="M199" s="26"/>
      <c r="N199" s="26"/>
      <c r="O199" s="26"/>
    </row>
    <row r="200" customFormat="false" ht="29.85" hidden="false" customHeight="false" outlineLevel="0" collapsed="false">
      <c r="A200" s="12" t="s">
        <v>84</v>
      </c>
      <c r="B200" s="13" t="s">
        <v>102</v>
      </c>
      <c r="C200" s="13" t="s">
        <v>83</v>
      </c>
      <c r="D200" s="28" t="s">
        <v>173</v>
      </c>
      <c r="E200" s="12" t="s">
        <v>674</v>
      </c>
      <c r="F200" s="13" t="s">
        <v>675</v>
      </c>
      <c r="G200" s="24"/>
      <c r="H200" s="13" t="s">
        <v>676</v>
      </c>
      <c r="I200" s="24"/>
      <c r="J200" s="12" t="s">
        <v>152</v>
      </c>
      <c r="K200" s="25" t="s">
        <v>111</v>
      </c>
      <c r="L200" s="26"/>
      <c r="M200" s="26"/>
      <c r="N200" s="26"/>
      <c r="O200" s="26"/>
    </row>
    <row r="201" customFormat="false" ht="29.85" hidden="false" customHeight="false" outlineLevel="0" collapsed="false">
      <c r="A201" s="12" t="s">
        <v>84</v>
      </c>
      <c r="B201" s="13" t="s">
        <v>102</v>
      </c>
      <c r="C201" s="13" t="s">
        <v>83</v>
      </c>
      <c r="D201" s="29" t="s">
        <v>178</v>
      </c>
      <c r="E201" s="12" t="s">
        <v>677</v>
      </c>
      <c r="F201" s="16" t="s">
        <v>678</v>
      </c>
      <c r="G201" s="24"/>
      <c r="H201" s="12"/>
      <c r="I201" s="24" t="s">
        <v>569</v>
      </c>
      <c r="J201" s="12" t="s">
        <v>177</v>
      </c>
      <c r="K201" s="25" t="s">
        <v>111</v>
      </c>
      <c r="L201" s="26"/>
      <c r="M201" s="26"/>
      <c r="N201" s="26"/>
      <c r="O201" s="26"/>
    </row>
  </sheetData>
  <autoFilter ref="A3:O201"/>
  <conditionalFormatting sqref="K4:K201">
    <cfRule type="expression" priority="2" aboveAverage="0" equalAverage="0" bottom="0" percent="0" rank="0" text="" dxfId="14">
      <formula>K4="完成"</formula>
    </cfRule>
    <cfRule type="expression" priority="3" aboveAverage="0" equalAverage="0" bottom="0" percent="0" rank="0" text="" dxfId="15">
      <formula>K4="失敗"</formula>
    </cfRule>
    <cfRule type="expression" priority="4" aboveAverage="0" equalAverage="0" bottom="0" percent="0" rank="0" text="" dxfId="16">
      <formula>K4="進行中"</formula>
    </cfRule>
    <cfRule type="expression" priority="5" aboveAverage="0" equalAverage="0" bottom="0" percent="0" rank="0" text="" dxfId="17">
      <formula>K4="N/A"</formula>
    </cfRule>
  </conditionalFormatting>
  <dataValidations count="1">
    <dataValidation allowBlank="true" errorStyle="stop" operator="between" showDropDown="false" showErrorMessage="false" showInputMessage="false" sqref="K4:K201" type="list">
      <formula1>"未開始,進行中,完成,失敗,N/A"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4" min="4" style="0" width="70"/>
    <col collapsed="false" customWidth="true" hidden="false" outlineLevel="0" max="5" min="5" style="0" width="40"/>
    <col collapsed="false" customWidth="true" hidden="false" outlineLevel="0" max="6" min="6" style="0" width="12"/>
  </cols>
  <sheetData>
    <row r="1" customFormat="false" ht="21.6" hidden="false" customHeight="false" outlineLevel="0" collapsed="false">
      <c r="A1" s="1" t="s">
        <v>679</v>
      </c>
    </row>
    <row r="2" customFormat="false" ht="15" hidden="false" customHeight="false" outlineLevel="0" collapsed="false">
      <c r="A2" s="2" t="s">
        <v>680</v>
      </c>
    </row>
    <row r="3" customFormat="false" ht="21.75" hidden="false" customHeight="true" outlineLevel="0" collapsed="false">
      <c r="A3" s="8" t="s">
        <v>681</v>
      </c>
      <c r="B3" s="8" t="s">
        <v>682</v>
      </c>
      <c r="C3" s="8" t="s">
        <v>683</v>
      </c>
      <c r="D3" s="8" t="s">
        <v>684</v>
      </c>
      <c r="E3" s="8" t="s">
        <v>95</v>
      </c>
      <c r="F3" s="8" t="s">
        <v>685</v>
      </c>
    </row>
    <row r="4" customFormat="false" ht="15" hidden="false" customHeight="false" outlineLevel="0" collapsed="false">
      <c r="A4" s="12" t="s">
        <v>686</v>
      </c>
      <c r="B4" s="12" t="s">
        <v>687</v>
      </c>
      <c r="C4" s="44" t="s">
        <v>688</v>
      </c>
      <c r="D4" s="13" t="s">
        <v>689</v>
      </c>
      <c r="E4" s="12" t="s">
        <v>690</v>
      </c>
      <c r="F4" s="12" t="s">
        <v>50</v>
      </c>
    </row>
    <row r="5" customFormat="false" ht="26.85" hidden="false" customHeight="false" outlineLevel="0" collapsed="false">
      <c r="A5" s="12" t="s">
        <v>691</v>
      </c>
      <c r="B5" s="12" t="s">
        <v>692</v>
      </c>
      <c r="C5" s="34" t="s">
        <v>693</v>
      </c>
      <c r="D5" s="12" t="s">
        <v>694</v>
      </c>
      <c r="E5" s="12" t="s">
        <v>695</v>
      </c>
      <c r="F5" s="12" t="s">
        <v>81</v>
      </c>
    </row>
    <row r="6" customFormat="false" ht="15" hidden="false" customHeight="false" outlineLevel="0" collapsed="false">
      <c r="A6" s="12" t="s">
        <v>696</v>
      </c>
      <c r="B6" s="12" t="s">
        <v>697</v>
      </c>
      <c r="C6" s="45" t="s">
        <v>698</v>
      </c>
      <c r="D6" s="13" t="s">
        <v>699</v>
      </c>
      <c r="E6" s="12" t="s">
        <v>700</v>
      </c>
      <c r="F6" s="12" t="s">
        <v>53</v>
      </c>
    </row>
    <row r="7" customFormat="false" ht="29.85" hidden="false" customHeight="false" outlineLevel="0" collapsed="false">
      <c r="A7" s="12" t="s">
        <v>701</v>
      </c>
      <c r="B7" s="12" t="s">
        <v>702</v>
      </c>
      <c r="C7" s="27" t="s">
        <v>703</v>
      </c>
      <c r="D7" s="13" t="s">
        <v>704</v>
      </c>
      <c r="E7" s="12" t="s">
        <v>705</v>
      </c>
      <c r="F7" s="12" t="s">
        <v>55</v>
      </c>
    </row>
    <row r="8" customFormat="false" ht="15" hidden="false" customHeight="false" outlineLevel="0" collapsed="false">
      <c r="A8" s="12" t="s">
        <v>706</v>
      </c>
      <c r="B8" s="12" t="s">
        <v>707</v>
      </c>
      <c r="C8" s="45" t="s">
        <v>698</v>
      </c>
      <c r="D8" s="13" t="s">
        <v>708</v>
      </c>
      <c r="E8" s="12" t="s">
        <v>709</v>
      </c>
      <c r="F8" s="12" t="s">
        <v>57</v>
      </c>
    </row>
    <row r="9" customFormat="false" ht="15" hidden="false" customHeight="false" outlineLevel="0" collapsed="false">
      <c r="A9" s="12" t="s">
        <v>710</v>
      </c>
      <c r="B9" s="12" t="s">
        <v>711</v>
      </c>
      <c r="C9" s="45" t="s">
        <v>698</v>
      </c>
      <c r="D9" s="13" t="s">
        <v>712</v>
      </c>
      <c r="E9" s="12" t="s">
        <v>713</v>
      </c>
      <c r="F9" s="12" t="s">
        <v>59</v>
      </c>
    </row>
    <row r="10" customFormat="false" ht="15" hidden="false" customHeight="false" outlineLevel="0" collapsed="false">
      <c r="A10" s="12" t="s">
        <v>714</v>
      </c>
      <c r="B10" s="12" t="s">
        <v>715</v>
      </c>
      <c r="C10" s="45" t="s">
        <v>698</v>
      </c>
      <c r="D10" s="12" t="s">
        <v>716</v>
      </c>
      <c r="E10" s="12" t="s">
        <v>717</v>
      </c>
      <c r="F10" s="12" t="s">
        <v>61</v>
      </c>
    </row>
    <row r="11" customFormat="false" ht="15" hidden="false" customHeight="false" outlineLevel="0" collapsed="false">
      <c r="A11" s="12" t="s">
        <v>718</v>
      </c>
      <c r="B11" s="12" t="s">
        <v>719</v>
      </c>
      <c r="C11" s="44" t="s">
        <v>688</v>
      </c>
      <c r="D11" s="12" t="s">
        <v>720</v>
      </c>
      <c r="E11" s="12" t="s">
        <v>721</v>
      </c>
      <c r="F11" s="12" t="s">
        <v>68</v>
      </c>
    </row>
    <row r="12" customFormat="false" ht="15" hidden="false" customHeight="false" outlineLevel="0" collapsed="false">
      <c r="A12" s="12" t="s">
        <v>722</v>
      </c>
      <c r="B12" s="12" t="s">
        <v>723</v>
      </c>
      <c r="C12" s="44" t="s">
        <v>688</v>
      </c>
      <c r="D12" s="13" t="s">
        <v>724</v>
      </c>
      <c r="E12" s="12" t="s">
        <v>721</v>
      </c>
      <c r="F12" s="12" t="s">
        <v>77</v>
      </c>
    </row>
    <row r="13" customFormat="false" ht="15" hidden="false" customHeight="false" outlineLevel="0" collapsed="false">
      <c r="A13" s="12" t="s">
        <v>725</v>
      </c>
      <c r="B13" s="12" t="s">
        <v>726</v>
      </c>
      <c r="C13" s="44" t="s">
        <v>727</v>
      </c>
      <c r="D13" s="12" t="s">
        <v>728</v>
      </c>
      <c r="E13" s="12" t="s">
        <v>729</v>
      </c>
      <c r="F13" s="12" t="s">
        <v>730</v>
      </c>
    </row>
    <row r="14" customFormat="false" ht="15" hidden="false" customHeight="false" outlineLevel="0" collapsed="false">
      <c r="A14" s="12" t="s">
        <v>731</v>
      </c>
      <c r="B14" s="12" t="s">
        <v>732</v>
      </c>
      <c r="C14" s="45" t="s">
        <v>698</v>
      </c>
      <c r="D14" s="13" t="s">
        <v>733</v>
      </c>
      <c r="E14" s="12" t="s">
        <v>509</v>
      </c>
      <c r="F14" s="12" t="s">
        <v>66</v>
      </c>
    </row>
    <row r="15" customFormat="false" ht="15" hidden="false" customHeight="false" outlineLevel="0" collapsed="false">
      <c r="A15" s="12" t="s">
        <v>734</v>
      </c>
      <c r="B15" s="12" t="s">
        <v>735</v>
      </c>
      <c r="C15" s="44" t="s">
        <v>727</v>
      </c>
      <c r="D15" s="13" t="s">
        <v>736</v>
      </c>
      <c r="E15" s="12" t="s">
        <v>729</v>
      </c>
      <c r="F15" s="12" t="s">
        <v>737</v>
      </c>
    </row>
    <row r="16" customFormat="false" ht="15" hidden="false" customHeight="false" outlineLevel="0" collapsed="false">
      <c r="A16" s="12" t="s">
        <v>738</v>
      </c>
      <c r="B16" s="12" t="s">
        <v>739</v>
      </c>
      <c r="C16" s="45" t="s">
        <v>698</v>
      </c>
      <c r="D16" s="13" t="s">
        <v>740</v>
      </c>
      <c r="E16" s="12" t="s">
        <v>509</v>
      </c>
      <c r="F16" s="12" t="s">
        <v>75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4" min="4" style="0" width="60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24"/>
  </cols>
  <sheetData>
    <row r="1" customFormat="false" ht="21.6" hidden="false" customHeight="false" outlineLevel="0" collapsed="false">
      <c r="A1" s="46" t="s">
        <v>741</v>
      </c>
    </row>
    <row r="2" customFormat="false" ht="15" hidden="false" customHeight="false" outlineLevel="0" collapsed="false">
      <c r="A2" s="47" t="s">
        <v>742</v>
      </c>
    </row>
    <row r="3" customFormat="false" ht="21.75" hidden="false" customHeight="true" outlineLevel="0" collapsed="false">
      <c r="A3" s="7" t="s">
        <v>23</v>
      </c>
      <c r="B3" s="8" t="s">
        <v>743</v>
      </c>
      <c r="C3" s="8" t="s">
        <v>744</v>
      </c>
      <c r="D3" s="8" t="s">
        <v>745</v>
      </c>
      <c r="E3" s="8" t="s">
        <v>746</v>
      </c>
      <c r="F3" s="7" t="s">
        <v>747</v>
      </c>
      <c r="G3" s="8" t="s">
        <v>748</v>
      </c>
      <c r="H3" s="8" t="s">
        <v>749</v>
      </c>
      <c r="I3" s="8" t="s">
        <v>750</v>
      </c>
      <c r="J3" s="8" t="s">
        <v>101</v>
      </c>
    </row>
    <row r="4" customFormat="false" ht="15" hidden="false" customHeight="false" outlineLevel="0" collapsed="false">
      <c r="A4" s="12" t="s">
        <v>25</v>
      </c>
      <c r="B4" s="12" t="s">
        <v>751</v>
      </c>
      <c r="C4" s="13" t="s">
        <v>752</v>
      </c>
      <c r="D4" s="13" t="s">
        <v>753</v>
      </c>
      <c r="E4" s="12" t="s">
        <v>754</v>
      </c>
      <c r="F4" s="13" t="s">
        <v>755</v>
      </c>
      <c r="G4" s="26"/>
      <c r="H4" s="26"/>
      <c r="I4" s="26"/>
      <c r="J4" s="26"/>
    </row>
    <row r="5" customFormat="false" ht="15" hidden="false" customHeight="false" outlineLevel="0" collapsed="false">
      <c r="A5" s="12" t="s">
        <v>756</v>
      </c>
      <c r="B5" s="12" t="s">
        <v>757</v>
      </c>
      <c r="C5" s="12" t="s">
        <v>758</v>
      </c>
      <c r="D5" s="13" t="s">
        <v>759</v>
      </c>
      <c r="E5" s="12" t="s">
        <v>754</v>
      </c>
      <c r="F5" s="34" t="s">
        <v>760</v>
      </c>
      <c r="G5" s="26"/>
      <c r="H5" s="26"/>
      <c r="I5" s="26"/>
      <c r="J5" s="26"/>
    </row>
    <row r="6" customFormat="false" ht="29.85" hidden="false" customHeight="false" outlineLevel="0" collapsed="false">
      <c r="A6" s="12" t="s">
        <v>29</v>
      </c>
      <c r="B6" s="12" t="s">
        <v>761</v>
      </c>
      <c r="C6" s="12" t="s">
        <v>762</v>
      </c>
      <c r="D6" s="12" t="s">
        <v>763</v>
      </c>
      <c r="E6" s="12" t="s">
        <v>764</v>
      </c>
      <c r="F6" s="13" t="s">
        <v>755</v>
      </c>
      <c r="G6" s="26"/>
      <c r="H6" s="26"/>
      <c r="I6" s="26"/>
      <c r="J6" s="26"/>
    </row>
    <row r="7" customFormat="false" ht="29.85" hidden="false" customHeight="false" outlineLevel="0" collapsed="false">
      <c r="A7" s="12" t="s">
        <v>765</v>
      </c>
      <c r="B7" s="12" t="s">
        <v>68</v>
      </c>
      <c r="C7" s="13" t="s">
        <v>766</v>
      </c>
      <c r="D7" s="12" t="s">
        <v>767</v>
      </c>
      <c r="E7" s="12" t="s">
        <v>768</v>
      </c>
      <c r="F7" s="34" t="s">
        <v>760</v>
      </c>
      <c r="G7" s="26"/>
      <c r="H7" s="26"/>
      <c r="I7" s="26"/>
      <c r="J7" s="26"/>
    </row>
    <row r="8" customFormat="false" ht="15" hidden="false" customHeight="false" outlineLevel="0" collapsed="false">
      <c r="A8" s="12" t="s">
        <v>769</v>
      </c>
      <c r="B8" s="12" t="s">
        <v>77</v>
      </c>
      <c r="C8" s="13" t="s">
        <v>770</v>
      </c>
      <c r="D8" s="13" t="s">
        <v>771</v>
      </c>
      <c r="E8" s="12" t="s">
        <v>768</v>
      </c>
      <c r="F8" s="34" t="s">
        <v>760</v>
      </c>
      <c r="G8" s="26"/>
      <c r="H8" s="26"/>
      <c r="I8" s="26"/>
      <c r="J8" s="26"/>
    </row>
    <row r="9" customFormat="false" ht="15" hidden="false" customHeight="false" outlineLevel="0" collapsed="false">
      <c r="A9" s="12" t="s">
        <v>772</v>
      </c>
      <c r="B9" s="12" t="s">
        <v>84</v>
      </c>
      <c r="C9" s="12" t="s">
        <v>773</v>
      </c>
      <c r="D9" s="13" t="s">
        <v>774</v>
      </c>
      <c r="E9" s="12" t="s">
        <v>177</v>
      </c>
      <c r="F9" s="34" t="s">
        <v>760</v>
      </c>
      <c r="G9" s="26"/>
      <c r="H9" s="26"/>
      <c r="I9" s="26"/>
      <c r="J9" s="26"/>
    </row>
  </sheetData>
  <dataValidations count="1">
    <dataValidation allowBlank="true" errorStyle="stop" operator="between" showDropDown="false" showErrorMessage="false" showInputMessage="false" sqref="G4:G9" type="list">
      <formula1>"Go,No-Go,條件式 Go"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42"/>
    <col collapsed="false" customWidth="true" hidden="false" outlineLevel="0" max="6" min="6" style="0" width="3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8"/>
  </cols>
  <sheetData>
    <row r="1" customFormat="false" ht="21.6" hidden="false" customHeight="false" outlineLevel="0" collapsed="false">
      <c r="A1" s="1" t="s">
        <v>775</v>
      </c>
    </row>
    <row r="2" customFormat="false" ht="15" hidden="false" customHeight="false" outlineLevel="0" collapsed="false">
      <c r="A2" s="2" t="s">
        <v>776</v>
      </c>
    </row>
    <row r="3" customFormat="false" ht="21.75" hidden="false" customHeight="true" outlineLevel="0" collapsed="false">
      <c r="A3" s="8" t="s">
        <v>777</v>
      </c>
      <c r="B3" s="7" t="s">
        <v>778</v>
      </c>
      <c r="C3" s="7" t="s">
        <v>779</v>
      </c>
      <c r="D3" s="8" t="s">
        <v>780</v>
      </c>
      <c r="E3" s="8" t="s">
        <v>101</v>
      </c>
      <c r="F3" s="8" t="s">
        <v>781</v>
      </c>
      <c r="G3" s="8" t="s">
        <v>782</v>
      </c>
      <c r="H3" s="7" t="s">
        <v>783</v>
      </c>
      <c r="I3" s="7" t="s">
        <v>784</v>
      </c>
      <c r="J3" s="8" t="s">
        <v>96</v>
      </c>
    </row>
    <row r="4" customFormat="false" ht="15" hidden="false" customHeight="false" outlineLevel="0" collapsed="false">
      <c r="A4" s="12" t="s">
        <v>785</v>
      </c>
      <c r="B4" s="12" t="s">
        <v>686</v>
      </c>
      <c r="C4" s="12" t="s">
        <v>686</v>
      </c>
      <c r="D4" s="12" t="s">
        <v>786</v>
      </c>
      <c r="E4" s="13" t="s">
        <v>787</v>
      </c>
      <c r="F4" s="26"/>
      <c r="G4" s="26"/>
      <c r="H4" s="26"/>
      <c r="I4" s="26"/>
      <c r="J4" s="12" t="s">
        <v>143</v>
      </c>
    </row>
    <row r="5" customFormat="false" ht="15" hidden="false" customHeight="false" outlineLevel="0" collapsed="false">
      <c r="A5" s="12" t="s">
        <v>788</v>
      </c>
      <c r="B5" s="12" t="s">
        <v>686</v>
      </c>
      <c r="C5" s="12" t="s">
        <v>686</v>
      </c>
      <c r="D5" s="12" t="s">
        <v>786</v>
      </c>
      <c r="E5" s="12"/>
      <c r="F5" s="26"/>
      <c r="G5" s="26"/>
      <c r="H5" s="26"/>
      <c r="I5" s="26"/>
      <c r="J5" s="12" t="s">
        <v>143</v>
      </c>
    </row>
    <row r="6" customFormat="false" ht="29.85" hidden="false" customHeight="false" outlineLevel="0" collapsed="false">
      <c r="A6" s="12" t="s">
        <v>789</v>
      </c>
      <c r="B6" s="12" t="s">
        <v>790</v>
      </c>
      <c r="C6" s="12" t="s">
        <v>791</v>
      </c>
      <c r="D6" s="12" t="s">
        <v>786</v>
      </c>
      <c r="E6" s="13" t="s">
        <v>792</v>
      </c>
      <c r="F6" s="26"/>
      <c r="G6" s="26"/>
      <c r="H6" s="26"/>
      <c r="I6" s="26"/>
      <c r="J6" s="12" t="s">
        <v>143</v>
      </c>
    </row>
    <row r="7" customFormat="false" ht="15" hidden="false" customHeight="false" outlineLevel="0" collapsed="false">
      <c r="A7" s="12" t="s">
        <v>793</v>
      </c>
      <c r="B7" s="12" t="s">
        <v>794</v>
      </c>
      <c r="C7" s="13" t="s">
        <v>795</v>
      </c>
      <c r="D7" s="12" t="s">
        <v>786</v>
      </c>
      <c r="E7" s="12" t="s">
        <v>796</v>
      </c>
      <c r="F7" s="26"/>
      <c r="G7" s="26"/>
      <c r="H7" s="26"/>
      <c r="I7" s="26"/>
      <c r="J7" s="12" t="s">
        <v>143</v>
      </c>
    </row>
    <row r="8" customFormat="false" ht="15" hidden="false" customHeight="false" outlineLevel="0" collapsed="false">
      <c r="A8" s="12" t="s">
        <v>797</v>
      </c>
      <c r="B8" s="12" t="s">
        <v>686</v>
      </c>
      <c r="C8" s="12" t="s">
        <v>686</v>
      </c>
      <c r="D8" s="12" t="s">
        <v>786</v>
      </c>
      <c r="E8" s="12"/>
      <c r="F8" s="26"/>
      <c r="G8" s="26"/>
      <c r="H8" s="26"/>
      <c r="I8" s="26"/>
      <c r="J8" s="12" t="s">
        <v>143</v>
      </c>
    </row>
    <row r="9" customFormat="false" ht="15" hidden="false" customHeight="false" outlineLevel="0" collapsed="false">
      <c r="A9" s="12" t="s">
        <v>798</v>
      </c>
      <c r="B9" s="12" t="s">
        <v>686</v>
      </c>
      <c r="C9" s="12" t="s">
        <v>799</v>
      </c>
      <c r="D9" s="12" t="s">
        <v>786</v>
      </c>
      <c r="E9" s="12" t="s">
        <v>800</v>
      </c>
      <c r="F9" s="26"/>
      <c r="G9" s="26"/>
      <c r="H9" s="26"/>
      <c r="I9" s="26"/>
      <c r="J9" s="12" t="s">
        <v>143</v>
      </c>
    </row>
    <row r="10" customFormat="false" ht="15" hidden="false" customHeight="false" outlineLevel="0" collapsed="false">
      <c r="A10" s="12" t="s">
        <v>801</v>
      </c>
      <c r="B10" s="12" t="s">
        <v>686</v>
      </c>
      <c r="C10" s="12" t="s">
        <v>686</v>
      </c>
      <c r="D10" s="12" t="s">
        <v>786</v>
      </c>
      <c r="E10" s="12"/>
      <c r="F10" s="26"/>
      <c r="G10" s="26"/>
      <c r="H10" s="26"/>
      <c r="I10" s="26"/>
      <c r="J10" s="12" t="s">
        <v>143</v>
      </c>
    </row>
    <row r="11" customFormat="false" ht="29.85" hidden="false" customHeight="false" outlineLevel="0" collapsed="false">
      <c r="A11" s="12" t="s">
        <v>802</v>
      </c>
      <c r="B11" s="12" t="s">
        <v>803</v>
      </c>
      <c r="C11" s="12" t="s">
        <v>804</v>
      </c>
      <c r="D11" s="12" t="s">
        <v>786</v>
      </c>
      <c r="E11" s="13" t="s">
        <v>805</v>
      </c>
      <c r="F11" s="26"/>
      <c r="G11" s="26"/>
      <c r="H11" s="26"/>
      <c r="I11" s="26"/>
      <c r="J11" s="12" t="s">
        <v>143</v>
      </c>
    </row>
    <row r="12" customFormat="false" ht="29.85" hidden="false" customHeight="false" outlineLevel="0" collapsed="false">
      <c r="A12" s="12" t="s">
        <v>806</v>
      </c>
      <c r="B12" s="12" t="s">
        <v>807</v>
      </c>
      <c r="C12" s="12" t="s">
        <v>808</v>
      </c>
      <c r="D12" s="12" t="s">
        <v>809</v>
      </c>
      <c r="E12" s="13" t="s">
        <v>810</v>
      </c>
      <c r="F12" s="26"/>
      <c r="G12" s="26"/>
      <c r="H12" s="26"/>
      <c r="I12" s="26"/>
      <c r="J12" s="12" t="s">
        <v>143</v>
      </c>
    </row>
    <row r="13" customFormat="false" ht="15" hidden="false" customHeight="false" outlineLevel="0" collapsed="false">
      <c r="A13" s="12" t="s">
        <v>811</v>
      </c>
      <c r="B13" s="12" t="s">
        <v>686</v>
      </c>
      <c r="C13" s="13" t="s">
        <v>812</v>
      </c>
      <c r="D13" s="13" t="s">
        <v>813</v>
      </c>
      <c r="E13" s="12" t="s">
        <v>814</v>
      </c>
      <c r="F13" s="26"/>
      <c r="G13" s="26"/>
      <c r="H13" s="26"/>
      <c r="I13" s="26"/>
      <c r="J13" s="12" t="s">
        <v>143</v>
      </c>
    </row>
    <row r="14" customFormat="false" ht="15" hidden="false" customHeight="false" outlineLevel="0" collapsed="false">
      <c r="A14" s="12" t="s">
        <v>815</v>
      </c>
      <c r="B14" s="12" t="s">
        <v>686</v>
      </c>
      <c r="C14" s="13" t="s">
        <v>812</v>
      </c>
      <c r="D14" s="13" t="s">
        <v>816</v>
      </c>
      <c r="E14" s="12" t="s">
        <v>814</v>
      </c>
      <c r="F14" s="26"/>
      <c r="G14" s="26"/>
      <c r="H14" s="26"/>
      <c r="I14" s="26"/>
      <c r="J14" s="12" t="s">
        <v>143</v>
      </c>
    </row>
    <row r="15" customFormat="false" ht="15" hidden="false" customHeight="false" outlineLevel="0" collapsed="false">
      <c r="A15" s="12" t="s">
        <v>817</v>
      </c>
      <c r="B15" s="12" t="s">
        <v>686</v>
      </c>
      <c r="C15" s="12" t="s">
        <v>686</v>
      </c>
      <c r="D15" s="12" t="s">
        <v>786</v>
      </c>
      <c r="E15" s="12" t="s">
        <v>818</v>
      </c>
      <c r="F15" s="26"/>
      <c r="G15" s="26"/>
      <c r="H15" s="26"/>
      <c r="I15" s="26"/>
      <c r="J15" s="12" t="s">
        <v>143</v>
      </c>
    </row>
  </sheetData>
  <dataValidations count="1">
    <dataValidation allowBlank="true" errorStyle="stop" operator="between" showDropDown="false" showErrorMessage="false" showInputMessage="false" sqref="I4:I15" type="list">
      <formula1>"未驗證,正反解 OK,有誤"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64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40"/>
    <col collapsed="false" customWidth="true" hidden="false" outlineLevel="0" max="8" min="8" style="0" width="12"/>
  </cols>
  <sheetData>
    <row r="1" customFormat="false" ht="21.6" hidden="false" customHeight="false" outlineLevel="0" collapsed="false">
      <c r="A1" s="1" t="s">
        <v>819</v>
      </c>
    </row>
    <row r="3" customFormat="false" ht="21.75" hidden="false" customHeight="true" outlineLevel="0" collapsed="false">
      <c r="A3" s="7" t="s">
        <v>91</v>
      </c>
      <c r="B3" s="8" t="s">
        <v>820</v>
      </c>
      <c r="C3" s="8" t="s">
        <v>821</v>
      </c>
      <c r="D3" s="8" t="s">
        <v>822</v>
      </c>
      <c r="E3" s="8" t="s">
        <v>96</v>
      </c>
      <c r="F3" s="8" t="s">
        <v>97</v>
      </c>
      <c r="G3" s="8" t="s">
        <v>823</v>
      </c>
      <c r="H3" s="8" t="s">
        <v>750</v>
      </c>
    </row>
    <row r="4" customFormat="false" ht="15" hidden="false" customHeight="false" outlineLevel="0" collapsed="false">
      <c r="A4" s="12" t="n">
        <v>1</v>
      </c>
      <c r="B4" s="12" t="s">
        <v>824</v>
      </c>
      <c r="C4" s="12" t="s">
        <v>825</v>
      </c>
      <c r="D4" s="13" t="s">
        <v>826</v>
      </c>
      <c r="E4" s="12" t="s">
        <v>127</v>
      </c>
      <c r="F4" s="25" t="s">
        <v>422</v>
      </c>
      <c r="G4" s="25" t="s">
        <v>827</v>
      </c>
      <c r="H4" s="26" t="s">
        <v>828</v>
      </c>
    </row>
    <row r="5" customFormat="false" ht="15" hidden="false" customHeight="false" outlineLevel="0" collapsed="false">
      <c r="A5" s="12" t="n">
        <v>2</v>
      </c>
      <c r="B5" s="12" t="s">
        <v>829</v>
      </c>
      <c r="C5" s="12" t="s">
        <v>830</v>
      </c>
      <c r="D5" s="12" t="s">
        <v>641</v>
      </c>
      <c r="E5" s="12" t="s">
        <v>110</v>
      </c>
      <c r="F5" s="25" t="s">
        <v>831</v>
      </c>
      <c r="G5" s="26"/>
      <c r="H5" s="26"/>
    </row>
    <row r="6" customFormat="false" ht="15" hidden="false" customHeight="false" outlineLevel="0" collapsed="false">
      <c r="A6" s="12" t="n">
        <v>3</v>
      </c>
      <c r="B6" s="12" t="s">
        <v>832</v>
      </c>
      <c r="C6" s="13" t="s">
        <v>833</v>
      </c>
      <c r="D6" s="12" t="s">
        <v>641</v>
      </c>
      <c r="E6" s="12" t="s">
        <v>110</v>
      </c>
      <c r="F6" s="25" t="s">
        <v>831</v>
      </c>
      <c r="G6" s="26"/>
      <c r="H6" s="26"/>
    </row>
    <row r="7" customFormat="false" ht="29.85" hidden="false" customHeight="false" outlineLevel="0" collapsed="false">
      <c r="A7" s="12" t="n">
        <v>4</v>
      </c>
      <c r="B7" s="12" t="s">
        <v>834</v>
      </c>
      <c r="C7" s="12" t="s">
        <v>835</v>
      </c>
      <c r="D7" s="12" t="s">
        <v>836</v>
      </c>
      <c r="E7" s="12" t="s">
        <v>110</v>
      </c>
      <c r="F7" s="25" t="s">
        <v>831</v>
      </c>
      <c r="G7" s="26"/>
      <c r="H7" s="26"/>
    </row>
    <row r="8" customFormat="false" ht="15" hidden="false" customHeight="false" outlineLevel="0" collapsed="false">
      <c r="A8" s="12" t="n">
        <v>5</v>
      </c>
      <c r="B8" s="12" t="s">
        <v>837</v>
      </c>
      <c r="C8" s="12" t="s">
        <v>838</v>
      </c>
      <c r="D8" s="12" t="s">
        <v>485</v>
      </c>
      <c r="E8" s="12" t="s">
        <v>127</v>
      </c>
      <c r="F8" s="25" t="s">
        <v>831</v>
      </c>
      <c r="G8" s="26"/>
      <c r="H8" s="26"/>
    </row>
    <row r="9" customFormat="false" ht="29.85" hidden="false" customHeight="false" outlineLevel="0" collapsed="false">
      <c r="A9" s="12" t="n">
        <v>6</v>
      </c>
      <c r="B9" s="13" t="s">
        <v>839</v>
      </c>
      <c r="C9" s="12" t="s">
        <v>840</v>
      </c>
      <c r="D9" s="12" t="s">
        <v>841</v>
      </c>
      <c r="E9" s="12" t="s">
        <v>127</v>
      </c>
      <c r="F9" s="25" t="s">
        <v>831</v>
      </c>
      <c r="G9" s="26"/>
      <c r="H9" s="26"/>
    </row>
    <row r="10" customFormat="false" ht="15" hidden="false" customHeight="false" outlineLevel="0" collapsed="false">
      <c r="A10" s="12" t="n">
        <v>7</v>
      </c>
      <c r="B10" s="12" t="s">
        <v>842</v>
      </c>
      <c r="C10" s="13" t="s">
        <v>843</v>
      </c>
      <c r="D10" s="12" t="s">
        <v>512</v>
      </c>
      <c r="E10" s="12" t="s">
        <v>157</v>
      </c>
      <c r="F10" s="25" t="s">
        <v>831</v>
      </c>
      <c r="G10" s="26"/>
      <c r="H10" s="26"/>
    </row>
    <row r="11" customFormat="false" ht="29.85" hidden="false" customHeight="false" outlineLevel="0" collapsed="false">
      <c r="A11" s="12" t="n">
        <v>8</v>
      </c>
      <c r="B11" s="12" t="s">
        <v>844</v>
      </c>
      <c r="C11" s="12" t="s">
        <v>845</v>
      </c>
      <c r="D11" s="13" t="s">
        <v>846</v>
      </c>
      <c r="E11" s="12" t="s">
        <v>847</v>
      </c>
      <c r="F11" s="25" t="s">
        <v>831</v>
      </c>
      <c r="G11" s="26"/>
      <c r="H11" s="26"/>
    </row>
    <row r="12" customFormat="false" ht="15" hidden="false" customHeight="false" outlineLevel="0" collapsed="false">
      <c r="A12" s="12" t="n">
        <v>9</v>
      </c>
      <c r="B12" s="12" t="s">
        <v>848</v>
      </c>
      <c r="C12" s="13" t="s">
        <v>849</v>
      </c>
      <c r="D12" s="13" t="s">
        <v>850</v>
      </c>
      <c r="E12" s="12" t="s">
        <v>851</v>
      </c>
      <c r="F12" s="25" t="s">
        <v>831</v>
      </c>
      <c r="G12" s="26"/>
      <c r="H12" s="26"/>
    </row>
    <row r="13" customFormat="false" ht="15" hidden="false" customHeight="false" outlineLevel="0" collapsed="false">
      <c r="A13" s="12" t="n">
        <v>10</v>
      </c>
      <c r="B13" s="12" t="s">
        <v>852</v>
      </c>
      <c r="C13" s="12" t="s">
        <v>853</v>
      </c>
      <c r="D13" s="13" t="s">
        <v>854</v>
      </c>
      <c r="E13" s="12" t="s">
        <v>152</v>
      </c>
      <c r="F13" s="25" t="s">
        <v>831</v>
      </c>
      <c r="G13" s="26"/>
      <c r="H13" s="26"/>
    </row>
    <row r="14" customFormat="false" ht="29.85" hidden="false" customHeight="false" outlineLevel="0" collapsed="false">
      <c r="A14" s="12" t="n">
        <v>11</v>
      </c>
      <c r="B14" s="13" t="s">
        <v>855</v>
      </c>
      <c r="C14" s="12" t="s">
        <v>856</v>
      </c>
      <c r="D14" s="12" t="s">
        <v>857</v>
      </c>
      <c r="E14" s="12" t="s">
        <v>152</v>
      </c>
      <c r="F14" s="25" t="s">
        <v>831</v>
      </c>
      <c r="G14" s="26"/>
      <c r="H14" s="26"/>
    </row>
    <row r="15" customFormat="false" ht="15" hidden="false" customHeight="false" outlineLevel="0" collapsed="false">
      <c r="A15" s="12" t="n">
        <v>12</v>
      </c>
      <c r="B15" s="12" t="s">
        <v>858</v>
      </c>
      <c r="C15" s="12" t="s">
        <v>859</v>
      </c>
      <c r="D15" s="12" t="s">
        <v>860</v>
      </c>
      <c r="E15" s="12" t="s">
        <v>205</v>
      </c>
      <c r="F15" s="25" t="s">
        <v>831</v>
      </c>
      <c r="G15" s="26"/>
      <c r="H15" s="26"/>
    </row>
  </sheetData>
  <conditionalFormatting sqref="F4:F15">
    <cfRule type="expression" priority="2" aboveAverage="0" equalAverage="0" bottom="0" percent="0" rank="0" text="" dxfId="18">
      <formula>F4="已確認"</formula>
    </cfRule>
  </conditionalFormatting>
  <dataValidations count="1">
    <dataValidation allowBlank="true" errorStyle="stop" operator="between" showDropDown="false" showErrorMessage="false" showInputMessage="false" sqref="F4:F15" type="list">
      <formula1>"待確認,已確認,不適用"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  <col collapsed="false" customWidth="true" hidden="false" outlineLevel="0" max="3" min="3" style="0" width="90"/>
  </cols>
  <sheetData>
    <row r="1" customFormat="false" ht="21.6" hidden="false" customHeight="false" outlineLevel="0" collapsed="false">
      <c r="A1" s="1" t="s">
        <v>861</v>
      </c>
    </row>
    <row r="3" customFormat="false" ht="21.75" hidden="false" customHeight="true" outlineLevel="0" collapsed="false">
      <c r="A3" s="8" t="s">
        <v>14</v>
      </c>
      <c r="B3" s="8" t="s">
        <v>862</v>
      </c>
      <c r="C3" s="7" t="s">
        <v>863</v>
      </c>
    </row>
    <row r="4" customFormat="false" ht="15" hidden="false" customHeight="false" outlineLevel="0" collapsed="false">
      <c r="A4" s="12" t="s">
        <v>864</v>
      </c>
      <c r="B4" s="12" t="s">
        <v>865</v>
      </c>
      <c r="C4" s="48" t="s">
        <v>866</v>
      </c>
    </row>
    <row r="5" customFormat="false" ht="23.85" hidden="false" customHeight="false" outlineLevel="0" collapsed="false">
      <c r="A5" s="12" t="s">
        <v>864</v>
      </c>
      <c r="B5" s="12" t="s">
        <v>867</v>
      </c>
      <c r="C5" s="48" t="s">
        <v>868</v>
      </c>
    </row>
    <row r="6" customFormat="false" ht="15" hidden="false" customHeight="false" outlineLevel="0" collapsed="false">
      <c r="A6" s="12" t="s">
        <v>864</v>
      </c>
      <c r="B6" s="12" t="s">
        <v>869</v>
      </c>
      <c r="C6" s="48" t="s">
        <v>870</v>
      </c>
    </row>
    <row r="7" customFormat="false" ht="15" hidden="false" customHeight="false" outlineLevel="0" collapsed="false">
      <c r="A7" s="12" t="s">
        <v>871</v>
      </c>
      <c r="B7" s="12" t="s">
        <v>705</v>
      </c>
      <c r="C7" s="48" t="s">
        <v>872</v>
      </c>
    </row>
    <row r="8" customFormat="false" ht="15" hidden="false" customHeight="false" outlineLevel="0" collapsed="false">
      <c r="A8" s="12" t="s">
        <v>871</v>
      </c>
      <c r="B8" s="12" t="s">
        <v>873</v>
      </c>
      <c r="C8" s="48" t="s">
        <v>874</v>
      </c>
    </row>
    <row r="9" customFormat="false" ht="15" hidden="false" customHeight="false" outlineLevel="0" collapsed="false">
      <c r="A9" s="12" t="s">
        <v>871</v>
      </c>
      <c r="B9" s="12" t="s">
        <v>875</v>
      </c>
      <c r="C9" s="48" t="s">
        <v>876</v>
      </c>
    </row>
    <row r="10" customFormat="false" ht="15" hidden="false" customHeight="false" outlineLevel="0" collapsed="false">
      <c r="A10" s="12" t="s">
        <v>877</v>
      </c>
      <c r="B10" s="12" t="s">
        <v>878</v>
      </c>
      <c r="C10" s="48" t="s">
        <v>879</v>
      </c>
    </row>
    <row r="11" customFormat="false" ht="15" hidden="false" customHeight="false" outlineLevel="0" collapsed="false">
      <c r="A11" s="12" t="s">
        <v>877</v>
      </c>
      <c r="B11" s="12" t="s">
        <v>717</v>
      </c>
      <c r="C11" s="48" t="s">
        <v>880</v>
      </c>
    </row>
    <row r="12" customFormat="false" ht="15" hidden="false" customHeight="false" outlineLevel="0" collapsed="false">
      <c r="A12" s="12" t="s">
        <v>877</v>
      </c>
      <c r="B12" s="12" t="s">
        <v>881</v>
      </c>
      <c r="C12" s="48" t="s">
        <v>882</v>
      </c>
    </row>
    <row r="13" customFormat="false" ht="15" hidden="false" customHeight="false" outlineLevel="0" collapsed="false">
      <c r="A13" s="12" t="s">
        <v>877</v>
      </c>
      <c r="B13" s="12" t="s">
        <v>883</v>
      </c>
      <c r="C13" s="48" t="s">
        <v>884</v>
      </c>
    </row>
    <row r="14" customFormat="false" ht="15" hidden="false" customHeight="false" outlineLevel="0" collapsed="false">
      <c r="A14" s="12" t="s">
        <v>885</v>
      </c>
      <c r="B14" s="12" t="s">
        <v>886</v>
      </c>
      <c r="C14" s="48" t="s">
        <v>887</v>
      </c>
    </row>
    <row r="15" customFormat="false" ht="15" hidden="false" customHeight="false" outlineLevel="0" collapsed="false">
      <c r="A15" s="12" t="s">
        <v>885</v>
      </c>
      <c r="B15" s="12" t="s">
        <v>888</v>
      </c>
      <c r="C15" s="48" t="s">
        <v>889</v>
      </c>
    </row>
    <row r="16" customFormat="false" ht="15" hidden="false" customHeight="false" outlineLevel="0" collapsed="false">
      <c r="A16" s="12" t="s">
        <v>890</v>
      </c>
      <c r="B16" s="12" t="s">
        <v>891</v>
      </c>
      <c r="C16" s="48" t="s">
        <v>892</v>
      </c>
    </row>
    <row r="17" customFormat="false" ht="15" hidden="false" customHeight="false" outlineLevel="0" collapsed="false">
      <c r="A17" s="12" t="s">
        <v>893</v>
      </c>
      <c r="B17" s="12" t="s">
        <v>894</v>
      </c>
      <c r="C17" s="48" t="s">
        <v>895</v>
      </c>
    </row>
    <row r="18" customFormat="false" ht="15" hidden="false" customHeight="false" outlineLevel="0" collapsed="false">
      <c r="A18" s="12" t="s">
        <v>893</v>
      </c>
      <c r="B18" s="12" t="s">
        <v>896</v>
      </c>
      <c r="C18" s="48" t="s">
        <v>897</v>
      </c>
    </row>
    <row r="19" customFormat="false" ht="15" hidden="false" customHeight="false" outlineLevel="0" collapsed="false">
      <c r="A19" s="12" t="s">
        <v>898</v>
      </c>
      <c r="B19" s="12" t="s">
        <v>899</v>
      </c>
      <c r="C19" s="48" t="s">
        <v>900</v>
      </c>
    </row>
    <row r="20" customFormat="false" ht="15" hidden="false" customHeight="false" outlineLevel="0" collapsed="false">
      <c r="A20" s="12" t="s">
        <v>901</v>
      </c>
      <c r="B20" s="12" t="s">
        <v>902</v>
      </c>
      <c r="C20" s="48" t="s">
        <v>903</v>
      </c>
    </row>
    <row r="21" customFormat="false" ht="15" hidden="false" customHeight="false" outlineLevel="0" collapsed="false">
      <c r="A21" s="12" t="s">
        <v>901</v>
      </c>
      <c r="B21" s="12" t="s">
        <v>904</v>
      </c>
      <c r="C21" s="48" t="s">
        <v>905</v>
      </c>
    </row>
    <row r="22" customFormat="false" ht="15" hidden="false" customHeight="false" outlineLevel="0" collapsed="false">
      <c r="A22" s="12" t="s">
        <v>901</v>
      </c>
      <c r="B22" s="12" t="s">
        <v>906</v>
      </c>
      <c r="C22" s="48" t="s">
        <v>907</v>
      </c>
    </row>
    <row r="23" customFormat="false" ht="15" hidden="false" customHeight="false" outlineLevel="0" collapsed="false">
      <c r="A23" s="12" t="s">
        <v>908</v>
      </c>
      <c r="B23" s="12" t="s">
        <v>909</v>
      </c>
      <c r="C23" s="48" t="s">
        <v>910</v>
      </c>
    </row>
    <row r="24" customFormat="false" ht="15" hidden="false" customHeight="false" outlineLevel="0" collapsed="false">
      <c r="A24" s="12" t="s">
        <v>908</v>
      </c>
      <c r="B24" s="12" t="s">
        <v>911</v>
      </c>
      <c r="C24" s="48" t="s">
        <v>912</v>
      </c>
    </row>
    <row r="25" customFormat="false" ht="15" hidden="false" customHeight="false" outlineLevel="0" collapsed="false">
      <c r="A25" s="12" t="s">
        <v>913</v>
      </c>
      <c r="B25" s="12" t="s">
        <v>914</v>
      </c>
      <c r="C25" s="48" t="s">
        <v>915</v>
      </c>
    </row>
    <row r="26" customFormat="false" ht="15" hidden="false" customHeight="false" outlineLevel="0" collapsed="false">
      <c r="A26" s="12" t="s">
        <v>800</v>
      </c>
      <c r="B26" s="12" t="s">
        <v>916</v>
      </c>
      <c r="C26" s="48" t="s">
        <v>917</v>
      </c>
    </row>
    <row r="27" customFormat="false" ht="15" hidden="false" customHeight="false" outlineLevel="0" collapsed="false">
      <c r="A27" s="12" t="s">
        <v>918</v>
      </c>
      <c r="B27" s="12" t="s">
        <v>919</v>
      </c>
      <c r="C27" s="48" t="s">
        <v>920</v>
      </c>
    </row>
    <row r="28" customFormat="false" ht="15" hidden="false" customHeight="false" outlineLevel="0" collapsed="false">
      <c r="A28" s="12" t="s">
        <v>363</v>
      </c>
      <c r="B28" s="12" t="s">
        <v>921</v>
      </c>
      <c r="C28" s="48" t="s">
        <v>922</v>
      </c>
    </row>
    <row r="29" customFormat="false" ht="15" hidden="false" customHeight="false" outlineLevel="0" collapsed="false">
      <c r="A29" s="12" t="s">
        <v>142</v>
      </c>
      <c r="B29" s="12" t="s">
        <v>923</v>
      </c>
      <c r="C29" s="48" t="s">
        <v>924</v>
      </c>
    </row>
    <row r="30" customFormat="false" ht="15" hidden="false" customHeight="false" outlineLevel="0" collapsed="false">
      <c r="A30" s="12" t="s">
        <v>925</v>
      </c>
      <c r="B30" s="12" t="s">
        <v>926</v>
      </c>
      <c r="C30" s="48" t="s">
        <v>927</v>
      </c>
    </row>
    <row r="31" customFormat="false" ht="15" hidden="false" customHeight="false" outlineLevel="0" collapsed="false">
      <c r="A31" s="12" t="s">
        <v>928</v>
      </c>
      <c r="B31" s="12" t="s">
        <v>929</v>
      </c>
      <c r="C31" s="48" t="s">
        <v>930</v>
      </c>
    </row>
    <row r="32" customFormat="false" ht="15" hidden="false" customHeight="false" outlineLevel="0" collapsed="false">
      <c r="A32" s="12" t="s">
        <v>931</v>
      </c>
      <c r="B32" s="13" t="s">
        <v>932</v>
      </c>
      <c r="C32" s="48" t="s">
        <v>933</v>
      </c>
    </row>
    <row r="33" customFormat="false" ht="15" hidden="false" customHeight="false" outlineLevel="0" collapsed="false">
      <c r="A33" s="12" t="s">
        <v>934</v>
      </c>
      <c r="B33" s="12" t="s">
        <v>935</v>
      </c>
      <c r="C33" s="48" t="s">
        <v>936</v>
      </c>
    </row>
    <row r="34" customFormat="false" ht="15" hidden="false" customHeight="false" outlineLevel="0" collapsed="false">
      <c r="A34" s="12" t="s">
        <v>937</v>
      </c>
      <c r="B34" s="12" t="s">
        <v>938</v>
      </c>
      <c r="C34" s="48" t="s">
        <v>939</v>
      </c>
    </row>
    <row r="35" customFormat="false" ht="15" hidden="false" customHeight="false" outlineLevel="0" collapsed="false">
      <c r="A35" s="12" t="s">
        <v>940</v>
      </c>
      <c r="B35" s="12" t="s">
        <v>941</v>
      </c>
      <c r="C35" s="48" t="s">
        <v>942</v>
      </c>
    </row>
    <row r="36" customFormat="false" ht="15" hidden="false" customHeight="false" outlineLevel="0" collapsed="false">
      <c r="A36" s="12" t="s">
        <v>943</v>
      </c>
      <c r="B36" s="12" t="s">
        <v>944</v>
      </c>
      <c r="C36" s="48" t="s">
        <v>945</v>
      </c>
    </row>
    <row r="37" customFormat="false" ht="15" hidden="false" customHeight="false" outlineLevel="0" collapsed="false">
      <c r="A37" s="12" t="s">
        <v>946</v>
      </c>
      <c r="B37" s="12" t="s">
        <v>947</v>
      </c>
      <c r="C37" s="48" t="s">
        <v>948</v>
      </c>
    </row>
    <row r="38" customFormat="false" ht="15" hidden="false" customHeight="false" outlineLevel="0" collapsed="false">
      <c r="A38" s="12" t="s">
        <v>949</v>
      </c>
      <c r="B38" s="12" t="s">
        <v>950</v>
      </c>
      <c r="C38" s="48" t="s">
        <v>951</v>
      </c>
    </row>
    <row r="39" customFormat="false" ht="15" hidden="false" customHeight="false" outlineLevel="0" collapsed="false">
      <c r="A39" s="12" t="s">
        <v>454</v>
      </c>
      <c r="B39" s="12" t="s">
        <v>952</v>
      </c>
      <c r="C39" s="48" t="s">
        <v>953</v>
      </c>
    </row>
    <row r="40" customFormat="false" ht="15" hidden="false" customHeight="false" outlineLevel="0" collapsed="false">
      <c r="A40" s="12" t="s">
        <v>954</v>
      </c>
      <c r="B40" s="13" t="s">
        <v>955</v>
      </c>
      <c r="C40" s="48" t="s">
        <v>956</v>
      </c>
    </row>
    <row r="41" customFormat="false" ht="15" hidden="false" customHeight="false" outlineLevel="0" collapsed="false">
      <c r="A41" s="12" t="s">
        <v>204</v>
      </c>
      <c r="B41" s="12" t="s">
        <v>957</v>
      </c>
      <c r="C41" s="48" t="s">
        <v>958</v>
      </c>
    </row>
    <row r="42" customFormat="false" ht="15" hidden="false" customHeight="false" outlineLevel="0" collapsed="false">
      <c r="A42" s="12" t="s">
        <v>509</v>
      </c>
      <c r="B42" s="12" t="s">
        <v>959</v>
      </c>
      <c r="C42" s="48" t="s">
        <v>960</v>
      </c>
    </row>
    <row r="43" customFormat="false" ht="15" hidden="false" customHeight="false" outlineLevel="0" collapsed="false">
      <c r="A43" s="12" t="s">
        <v>526</v>
      </c>
      <c r="B43" s="12" t="s">
        <v>961</v>
      </c>
      <c r="C43" s="48" t="s">
        <v>962</v>
      </c>
    </row>
    <row r="44" customFormat="false" ht="15" hidden="false" customHeight="false" outlineLevel="0" collapsed="false">
      <c r="A44" s="12" t="s">
        <v>963</v>
      </c>
      <c r="B44" s="12" t="s">
        <v>964</v>
      </c>
      <c r="C44" s="48" t="s">
        <v>965</v>
      </c>
    </row>
    <row r="45" customFormat="false" ht="15" hidden="false" customHeight="false" outlineLevel="0" collapsed="false">
      <c r="A45" s="12" t="s">
        <v>966</v>
      </c>
      <c r="B45" s="12" t="s">
        <v>967</v>
      </c>
      <c r="C45" s="48" t="s">
        <v>968</v>
      </c>
    </row>
    <row r="46" customFormat="false" ht="15" hidden="false" customHeight="false" outlineLevel="0" collapsed="false">
      <c r="A46" s="12" t="s">
        <v>580</v>
      </c>
      <c r="B46" s="12" t="s">
        <v>969</v>
      </c>
      <c r="C46" s="48" t="s">
        <v>970</v>
      </c>
    </row>
  </sheetData>
  <hyperlinks>
    <hyperlink ref="C4" r:id="rId1" display="https://techdocs.broadcom.com/us/en/vmware-cis/vcf/vcf-9-0-and-later/9-1/deployment/converging-your-existing-vsphere-infrastructure-to-a-vcf-or-vvf-platform-/supported-and-not-supported-configurations.html"/>
    <hyperlink ref="C5" r:id="rId2" display="https://techdocs.broadcom.com/us/en/vmware-cis/vcf/vcf-9-0-and-later/9-1/deployment/converging-your-existing-vsphere-infrastructure-to-a-vcf-or-vvf-platform-/use-existing-vsphere-infrastructure-to-create-a-new-vcf-fleet-or-a-new-vcf-instance-using-the-deployment-wizard.html"/>
    <hyperlink ref="C6" r:id="rId3" display="https://techdocs.broadcom.com/us/en/vmware-cis/vcf/vcf-9-0-and-later/9-1/deployment/converging-your-existing-vsphere-infrastructure-to-a-vcf-or-vvf-platform-/supported-scenarios-to-converge-to-vcf/converge-your-existing-vcenter-instance-esx-hosts-vrealize-suite-lifecycle-manager-and-vmware-aria-automation.html"/>
    <hyperlink ref="C7" r:id="rId4" display="https://techdocs.broadcom.com/us/en/vmware-cis/vcf/vcf-9-0-and-later/9-1/deployment/deploying-a-new-vmware-cloud-foundation-or-vmware-vsphere-foundation-private-cloud-/preparing-your-environment/downloading-binaries-to-the-vcf-installer-appliance.html"/>
    <hyperlink ref="C8" r:id="rId5" display="https://techdocs.broadcom.com/us/en/vmware-cis/vcf/vcf-9-0-and-later/9-1/deployment/deploying-a-new-vmware-cloud-foundation-or-vmware-vsphere-foundation-private-cloud-/preparing-your-environment/downloading-binaries-to-the-vcf-installer-appliance/connect-to-an-online-depot-to-download-binaries.html"/>
    <hyperlink ref="C9" r:id="rId6" display="https://techdocs.broadcom.com/us/en/vmware-cis/vcf/vcf-9-0-and-later/9-1/lifecycle-management/binary-management-for-vmware-cloud-foundation/connect-sddc-manager-to-a-software-depot-for-downloading-bundles.html"/>
    <hyperlink ref="C10" r:id="rId7" display="https://techdocs.broadcom.com/us/en/vmware-cis/vcf/vcf-9-0-and-later/9-1/deployment/upgrading-cloud-foundation/phase-3-import-and-upgrade-aria-automation-8-to-vcf-automation-9/import-an-existing-vmware-aria-automation-instance-in-vcf-operations.html"/>
    <hyperlink ref="C11" r:id="rId8" display="https://techdocs.broadcom.com/us/en/vmware-cis/vcf/vcf-9-0-and-later/9-1/deployment/upgrading-cloud-foundation/phase-3-import-and-upgrade-aria-automation-8-to-vcf-automation-9.html"/>
    <hyperlink ref="C12" r:id="rId9" display="https://techdocs.broadcom.com/us/en/vmware-cis/vcf/vcf-9-0-and-later/9-1/deployment/upgrading-cloud-foundation/phase-3-import-and-upgrade-aria-automation-8-to-vcf-automation-9/upgrade-to-vcf-automation.html"/>
    <hyperlink ref="C13" r:id="rId10" display="https://techdocs.broadcom.com/us/en/vmware-cis/vcf/vcf-9-0-and-later/9-1/deployment/upgrading-cloud-foundation/phase-3-import-and-upgrade-aria-automation-8-to-vcf-automation-9/migrate-vcf-automation-single-sign-on-configuration-from-vmware-identity-manager-to-vcf-identity-broker.html"/>
    <hyperlink ref="C14" r:id="rId11" display="https://techdocs.broadcom.com/us/en/vmware-cis/vcf/vcf-9-0-and-later/9-1/deployment/upgrading-cloud-foundation/upgrade-a-standalone-or-clustered-vrealize-orchestrator-8-0-1-deployment-with-iso-image.html"/>
    <hyperlink ref="C15" r:id="rId12" display="https://techdocs.broadcom.com/us/en/vmware-cis/vcf/vcf-9-0-and-later/9-1/deployment/deploying-a-new-vmware-cloud-foundation-or-vmware-vsphere-foundation-private-cloud-/manual-deployment-of-components-to-complete-your-vcf-platform/download-and-deploy-the-vco-va/integrate-vcf-operations-orchestrator-with-vcf-automation-for-vm-apps.html"/>
    <hyperlink ref="C16" r:id="rId13" display="https://techdocs.broadcom.com/us/en/vmware-cis/vcf/vcf-9-0-and-later/9-1/deployment/upgrading-cloud-foundation.html"/>
    <hyperlink ref="C17" r:id="rId14" display="https://techdocs.broadcom.com/us/en/vmware-cis/vcf/vcf-9-0-and-later/9-1/building-your-private-cloud-infrastructure/working-with-workload-domains/import-an-existing-vcenter-to-create-a-workload-domain.html"/>
    <hyperlink ref="C18" r:id="rId15" display="https://techdocs.broadcom.com/us/en/vmware-cis/vcf/vcf-9-0-and-later/9-1/lifecycle-management/upgrade-workload-domains-to-vcf-5-2.html"/>
    <hyperlink ref="C19" r:id="rId16" display="https://techdocs.broadcom.com/us/en/vmware-cis/vsphere/vsphere/9-1/vcenter-and-host-management/migrating-virtual-machines/vmotion-across-vcenter-server-systems/migrate-a-virtual-machine-from-an-external-vcenter-server-instance.html"/>
    <hyperlink ref="C20" r:id="rId17" display="https://techdocs.broadcom.com/us/en/vmware-cis/vcf/protection-and-recovery/9-1/release-notes/protection-and-recovery-9110-release-notes.html"/>
    <hyperlink ref="C21" r:id="rId18" display="https://techdocs.broadcom.com/us/en/vmware-cis/vcf/protection-and-recovery/9-1/protection-and-recovery-installation/setting-up-vmware-live-site-recovery-overview/convergence-and-upgrade/upgrading-srm/order-of-upgrading-vsphere-and-srm-components.html"/>
    <hyperlink ref="C22" r:id="rId19" display="https://techdocs.broadcom.com/us/en/vmware-cis/vcf/protection-and-recovery/9-1/protection-and-recovery-installation/setting-up-vmware-live-site-recovery-overview/reconfiguring-the-site-recovery-manager-virtual-appliance/reconfigure-the-connection-between-sites.html"/>
    <hyperlink ref="C23" r:id="rId20" display="https://techdocs.broadcom.com/us/en/vmware-cis/vcf/vcf-9-0-and-later/9-1/release-notes/vmware-cloud-foundation-9-1-1-0-release-notes.html"/>
    <hyperlink ref="C24" r:id="rId21" display="https://techdocs.broadcom.com/us/en/vmware-cis/vcf/vcf-9-0-and-later/9-1/release-notes/vmware-cloud-foundation-9-1-1-0-release-notes/vmware-cloud-foundation-9-1-1-0-bill-of-material.html"/>
    <hyperlink ref="C25" r:id="rId22" display="https://interopmatrix.broadcom.com/Interoperability"/>
    <hyperlink ref="C26" r:id="rId23" display="https://knowledge.broadcom.com/external/article/440630"/>
    <hyperlink ref="C27" r:id="rId24" display="https://knowledge.broadcom.com/external/article/450972"/>
    <hyperlink ref="C28" r:id="rId25" display="https://knowledge.broadcom.com/external/article/448258"/>
    <hyperlink ref="C29" r:id="rId26" display="https://knowledge.broadcom.com/external/article/453612"/>
    <hyperlink ref="C30" r:id="rId27" display="https://knowledge.broadcom.com/external/article/425102"/>
    <hyperlink ref="C31" r:id="rId28" display="https://knowledge.broadcom.com/external/article/436924"/>
    <hyperlink ref="C32" r:id="rId29" display="https://knowledge.broadcom.com/external/article/430524"/>
    <hyperlink ref="C33" r:id="rId30" display="https://knowledge.broadcom.com/external/article/429205"/>
    <hyperlink ref="C34" r:id="rId31" display="https://knowledge.broadcom.com/external/article/425169"/>
    <hyperlink ref="C35" r:id="rId32" display="https://knowledge.broadcom.com/external/article/425489"/>
    <hyperlink ref="C36" r:id="rId33" display="https://knowledge.broadcom.com/external/article/389563"/>
    <hyperlink ref="C37" r:id="rId34" display="https://knowledge.broadcom.com/external/article/447667"/>
    <hyperlink ref="C38" r:id="rId35" display="https://knowledge.broadcom.com/external/article/450345"/>
    <hyperlink ref="C39" r:id="rId36" display="https://knowledge.broadcom.com/external/article/441333"/>
    <hyperlink ref="C40" r:id="rId37" display="https://knowledge.broadcom.com/external/article/318582"/>
    <hyperlink ref="C41" r:id="rId38" display="https://knowledge.broadcom.com/external/article/447218"/>
    <hyperlink ref="C42" r:id="rId39" display="https://knowledge.broadcom.com/external/article/446701"/>
    <hyperlink ref="C43" r:id="rId40" display="https://knowledge.broadcom.com/external/article/448322"/>
    <hyperlink ref="C44" r:id="rId41" display="https://knowledge.broadcom.com/external/article/367383"/>
    <hyperlink ref="C45" r:id="rId42" display="https://knowledge.broadcom.com/external/article/396777"/>
    <hyperlink ref="C46" r:id="rId43" display="https://knowledge.broadcom.com/external/article/316592"/>
  </hyperlink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5" min="5" style="0" width="60"/>
    <col collapsed="false" customWidth="true" hidden="false" outlineLevel="0" max="6" min="6" style="0" width="50"/>
    <col collapsed="false" customWidth="true" hidden="false" outlineLevel="0" max="7" min="7" style="0" width="44"/>
  </cols>
  <sheetData>
    <row r="1" customFormat="false" ht="21.6" hidden="false" customHeight="false" outlineLevel="0" collapsed="false">
      <c r="A1" s="46" t="s">
        <v>971</v>
      </c>
    </row>
    <row r="2" customFormat="false" ht="15" hidden="false" customHeight="false" outlineLevel="0" collapsed="false">
      <c r="A2" s="2" t="s">
        <v>972</v>
      </c>
    </row>
    <row r="3" customFormat="false" ht="21.75" hidden="false" customHeight="true" outlineLevel="0" collapsed="false">
      <c r="A3" s="8" t="s">
        <v>39</v>
      </c>
      <c r="B3" s="8" t="s">
        <v>744</v>
      </c>
      <c r="C3" s="8" t="s">
        <v>97</v>
      </c>
      <c r="D3" s="8" t="s">
        <v>973</v>
      </c>
      <c r="E3" s="8" t="s">
        <v>974</v>
      </c>
      <c r="F3" s="8" t="s">
        <v>975</v>
      </c>
      <c r="G3" s="7" t="s">
        <v>976</v>
      </c>
    </row>
    <row r="4" customFormat="false" ht="29.85" hidden="false" customHeight="false" outlineLevel="0" collapsed="false">
      <c r="A4" s="12" t="s">
        <v>50</v>
      </c>
      <c r="B4" s="12" t="s">
        <v>977</v>
      </c>
      <c r="C4" s="45" t="s">
        <v>978</v>
      </c>
      <c r="D4" s="12" t="s">
        <v>979</v>
      </c>
      <c r="E4" s="13" t="s">
        <v>980</v>
      </c>
      <c r="F4" s="12" t="s">
        <v>981</v>
      </c>
      <c r="G4" s="12" t="s">
        <v>982</v>
      </c>
    </row>
    <row r="5" customFormat="false" ht="15" hidden="false" customHeight="false" outlineLevel="0" collapsed="false">
      <c r="A5" s="12" t="s">
        <v>983</v>
      </c>
      <c r="B5" s="12" t="s">
        <v>984</v>
      </c>
      <c r="C5" s="45" t="s">
        <v>978</v>
      </c>
      <c r="D5" s="13" t="s">
        <v>985</v>
      </c>
      <c r="E5" s="12" t="s">
        <v>986</v>
      </c>
      <c r="F5" s="12" t="s">
        <v>987</v>
      </c>
      <c r="G5" s="12" t="s">
        <v>988</v>
      </c>
    </row>
    <row r="6" customFormat="false" ht="29.85" hidden="false" customHeight="false" outlineLevel="0" collapsed="false">
      <c r="A6" s="12" t="s">
        <v>57</v>
      </c>
      <c r="B6" s="12" t="s">
        <v>989</v>
      </c>
      <c r="C6" s="45" t="s">
        <v>978</v>
      </c>
      <c r="D6" s="12" t="s">
        <v>990</v>
      </c>
      <c r="E6" s="13" t="s">
        <v>991</v>
      </c>
      <c r="F6" s="12" t="s">
        <v>992</v>
      </c>
      <c r="G6" s="12" t="s">
        <v>993</v>
      </c>
    </row>
    <row r="7" customFormat="false" ht="26.85" hidden="false" customHeight="false" outlineLevel="0" collapsed="false">
      <c r="A7" s="12" t="s">
        <v>59</v>
      </c>
      <c r="B7" s="12" t="s">
        <v>994</v>
      </c>
      <c r="C7" s="45" t="s">
        <v>978</v>
      </c>
      <c r="D7" s="12" t="s">
        <v>995</v>
      </c>
      <c r="E7" s="12" t="s">
        <v>996</v>
      </c>
      <c r="F7" s="12" t="s">
        <v>987</v>
      </c>
      <c r="G7" s="12" t="s">
        <v>997</v>
      </c>
    </row>
    <row r="8" customFormat="false" ht="29.85" hidden="false" customHeight="false" outlineLevel="0" collapsed="false">
      <c r="A8" s="12" t="s">
        <v>61</v>
      </c>
      <c r="B8" s="12" t="s">
        <v>998</v>
      </c>
      <c r="C8" s="45" t="s">
        <v>978</v>
      </c>
      <c r="D8" s="12" t="s">
        <v>999</v>
      </c>
      <c r="E8" s="12" t="s">
        <v>1000</v>
      </c>
      <c r="F8" s="12" t="s">
        <v>1001</v>
      </c>
      <c r="G8" s="12" t="s">
        <v>997</v>
      </c>
    </row>
    <row r="9" customFormat="false" ht="29.85" hidden="false" customHeight="false" outlineLevel="0" collapsed="false">
      <c r="A9" s="12" t="s">
        <v>1002</v>
      </c>
      <c r="B9" s="12" t="s">
        <v>1003</v>
      </c>
      <c r="C9" s="45" t="s">
        <v>978</v>
      </c>
      <c r="D9" s="12" t="s">
        <v>1004</v>
      </c>
      <c r="E9" s="12" t="s">
        <v>1005</v>
      </c>
      <c r="F9" s="12" t="s">
        <v>1006</v>
      </c>
      <c r="G9" s="12" t="s">
        <v>1007</v>
      </c>
    </row>
    <row r="10" customFormat="false" ht="15" hidden="false" customHeight="false" outlineLevel="0" collapsed="false">
      <c r="A10" s="12" t="s">
        <v>1008</v>
      </c>
      <c r="B10" s="12" t="s">
        <v>1009</v>
      </c>
      <c r="C10" s="34" t="s">
        <v>1010</v>
      </c>
      <c r="D10" s="12" t="s">
        <v>987</v>
      </c>
      <c r="E10" s="12" t="s">
        <v>987</v>
      </c>
      <c r="F10" s="12" t="s">
        <v>1011</v>
      </c>
      <c r="G10" s="12" t="s">
        <v>987</v>
      </c>
    </row>
    <row r="11" customFormat="false" ht="29.85" hidden="false" customHeight="false" outlineLevel="0" collapsed="false">
      <c r="A11" s="12" t="s">
        <v>1012</v>
      </c>
      <c r="B11" s="12" t="s">
        <v>1013</v>
      </c>
      <c r="C11" s="45" t="s">
        <v>978</v>
      </c>
      <c r="D11" s="12" t="s">
        <v>1014</v>
      </c>
      <c r="E11" s="12" t="s">
        <v>1015</v>
      </c>
      <c r="F11" s="12" t="s">
        <v>987</v>
      </c>
      <c r="G11" s="12" t="s">
        <v>1016</v>
      </c>
    </row>
    <row r="12" customFormat="false" ht="29.85" hidden="false" customHeight="false" outlineLevel="0" collapsed="false">
      <c r="A12" s="12" t="s">
        <v>1017</v>
      </c>
      <c r="B12" s="13" t="s">
        <v>1018</v>
      </c>
      <c r="C12" s="34" t="s">
        <v>1010</v>
      </c>
      <c r="D12" s="12" t="s">
        <v>987</v>
      </c>
      <c r="E12" s="13" t="s">
        <v>1019</v>
      </c>
      <c r="F12" s="12" t="s">
        <v>1020</v>
      </c>
      <c r="G12" s="12" t="s">
        <v>1021</v>
      </c>
    </row>
    <row r="13" customFormat="false" ht="29.85" hidden="false" customHeight="false" outlineLevel="0" collapsed="false">
      <c r="A13" s="12" t="s">
        <v>81</v>
      </c>
      <c r="B13" s="12" t="s">
        <v>1022</v>
      </c>
      <c r="C13" s="34" t="s">
        <v>1010</v>
      </c>
      <c r="D13" s="12" t="s">
        <v>987</v>
      </c>
      <c r="E13" s="12" t="s">
        <v>987</v>
      </c>
      <c r="F13" s="12" t="s">
        <v>1023</v>
      </c>
      <c r="G13" s="12" t="s">
        <v>987</v>
      </c>
    </row>
    <row r="14" customFormat="false" ht="15" hidden="false" customHeight="false" outlineLevel="0" collapsed="false">
      <c r="A14" s="13" t="s">
        <v>1024</v>
      </c>
      <c r="B14" s="12" t="s">
        <v>1025</v>
      </c>
      <c r="C14" s="34" t="s">
        <v>1010</v>
      </c>
      <c r="D14" s="12" t="s">
        <v>987</v>
      </c>
      <c r="E14" s="12" t="s">
        <v>987</v>
      </c>
      <c r="F14" s="12" t="s">
        <v>1026</v>
      </c>
      <c r="G14" s="12" t="s">
        <v>987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58"/>
    <col collapsed="false" customWidth="true" hidden="false" outlineLevel="0" max="4" min="4" style="0" width="80"/>
  </cols>
  <sheetData>
    <row r="1" customFormat="false" ht="21.6" hidden="false" customHeight="false" outlineLevel="0" collapsed="false">
      <c r="A1" s="46" t="s">
        <v>1027</v>
      </c>
    </row>
    <row r="2" customFormat="false" ht="15" hidden="false" customHeight="false" outlineLevel="0" collapsed="false">
      <c r="A2" s="47" t="s">
        <v>1028</v>
      </c>
    </row>
    <row r="3" customFormat="false" ht="21.75" hidden="false" customHeight="true" outlineLevel="0" collapsed="false">
      <c r="A3" s="8" t="s">
        <v>1029</v>
      </c>
      <c r="B3" s="7" t="s">
        <v>1030</v>
      </c>
      <c r="C3" s="8" t="s">
        <v>1031</v>
      </c>
      <c r="D3" s="8" t="s">
        <v>1032</v>
      </c>
    </row>
    <row r="4" customFormat="false" ht="29.85" hidden="false" customHeight="false" outlineLevel="0" collapsed="false">
      <c r="A4" s="12" t="s">
        <v>50</v>
      </c>
      <c r="B4" s="49" t="s">
        <v>1033</v>
      </c>
      <c r="C4" s="12" t="s">
        <v>1034</v>
      </c>
      <c r="D4" s="12" t="s">
        <v>1035</v>
      </c>
    </row>
    <row r="5" customFormat="false" ht="26.85" hidden="false" customHeight="false" outlineLevel="0" collapsed="false">
      <c r="A5" s="12" t="s">
        <v>50</v>
      </c>
      <c r="B5" s="49" t="s">
        <v>1033</v>
      </c>
      <c r="C5" s="12" t="s">
        <v>1036</v>
      </c>
      <c r="D5" s="12" t="s">
        <v>1037</v>
      </c>
    </row>
    <row r="6" customFormat="false" ht="29.85" hidden="false" customHeight="false" outlineLevel="0" collapsed="false">
      <c r="A6" s="12" t="s">
        <v>50</v>
      </c>
      <c r="B6" s="49" t="s">
        <v>1033</v>
      </c>
      <c r="C6" s="12" t="s">
        <v>1038</v>
      </c>
      <c r="D6" s="12" t="s">
        <v>1039</v>
      </c>
    </row>
    <row r="7" customFormat="false" ht="29.85" hidden="false" customHeight="false" outlineLevel="0" collapsed="false">
      <c r="A7" s="12" t="s">
        <v>1040</v>
      </c>
      <c r="B7" s="49" t="s">
        <v>1041</v>
      </c>
      <c r="C7" s="12" t="s">
        <v>1042</v>
      </c>
      <c r="D7" s="12" t="s">
        <v>1043</v>
      </c>
    </row>
    <row r="8" customFormat="false" ht="41" hidden="false" customHeight="false" outlineLevel="0" collapsed="false">
      <c r="A8" s="12" t="s">
        <v>55</v>
      </c>
      <c r="B8" s="49" t="s">
        <v>1044</v>
      </c>
      <c r="C8" s="12" t="s">
        <v>1045</v>
      </c>
      <c r="D8" s="12" t="s">
        <v>1046</v>
      </c>
    </row>
    <row r="9" customFormat="false" ht="29.85" hidden="false" customHeight="false" outlineLevel="0" collapsed="false">
      <c r="A9" s="12" t="s">
        <v>55</v>
      </c>
      <c r="B9" s="49" t="s">
        <v>1044</v>
      </c>
      <c r="C9" s="12" t="s">
        <v>1047</v>
      </c>
      <c r="D9" s="12" t="s">
        <v>1048</v>
      </c>
    </row>
    <row r="10" customFormat="false" ht="15" hidden="false" customHeight="false" outlineLevel="0" collapsed="false">
      <c r="A10" s="12" t="s">
        <v>55</v>
      </c>
      <c r="B10" s="49" t="s">
        <v>1049</v>
      </c>
      <c r="C10" s="12" t="s">
        <v>1050</v>
      </c>
      <c r="D10" s="12" t="s">
        <v>1051</v>
      </c>
    </row>
    <row r="11" customFormat="false" ht="15" hidden="false" customHeight="false" outlineLevel="0" collapsed="false">
      <c r="A11" s="12" t="s">
        <v>55</v>
      </c>
      <c r="B11" s="49" t="s">
        <v>1052</v>
      </c>
      <c r="C11" s="12" t="s">
        <v>1053</v>
      </c>
      <c r="D11" s="12" t="s">
        <v>1054</v>
      </c>
    </row>
    <row r="12" customFormat="false" ht="29.85" hidden="false" customHeight="false" outlineLevel="0" collapsed="false">
      <c r="A12" s="12" t="s">
        <v>57</v>
      </c>
      <c r="B12" s="49" t="s">
        <v>1055</v>
      </c>
      <c r="C12" s="12" t="s">
        <v>1056</v>
      </c>
      <c r="D12" s="12" t="s">
        <v>1057</v>
      </c>
    </row>
    <row r="13" customFormat="false" ht="29.85" hidden="false" customHeight="false" outlineLevel="0" collapsed="false">
      <c r="A13" s="12" t="s">
        <v>57</v>
      </c>
      <c r="B13" s="49" t="s">
        <v>1055</v>
      </c>
      <c r="C13" s="12" t="s">
        <v>1058</v>
      </c>
      <c r="D13" s="13" t="s">
        <v>1059</v>
      </c>
    </row>
    <row r="14" customFormat="false" ht="29.85" hidden="false" customHeight="false" outlineLevel="0" collapsed="false">
      <c r="A14" s="12" t="s">
        <v>57</v>
      </c>
      <c r="B14" s="49" t="s">
        <v>1055</v>
      </c>
      <c r="C14" s="12" t="s">
        <v>1060</v>
      </c>
      <c r="D14" s="13" t="s">
        <v>1061</v>
      </c>
    </row>
    <row r="15" customFormat="false" ht="15" hidden="false" customHeight="false" outlineLevel="0" collapsed="false">
      <c r="A15" s="12" t="s">
        <v>57</v>
      </c>
      <c r="B15" s="49" t="s">
        <v>1062</v>
      </c>
      <c r="C15" s="12" t="s">
        <v>1063</v>
      </c>
      <c r="D15" s="12" t="s">
        <v>1064</v>
      </c>
    </row>
    <row r="16" customFormat="false" ht="29.85" hidden="false" customHeight="false" outlineLevel="0" collapsed="false">
      <c r="A16" s="12" t="s">
        <v>1065</v>
      </c>
      <c r="B16" s="49" t="s">
        <v>1033</v>
      </c>
      <c r="C16" s="12" t="s">
        <v>1066</v>
      </c>
      <c r="D16" s="12" t="s">
        <v>1067</v>
      </c>
    </row>
    <row r="17" customFormat="false" ht="29.85" hidden="false" customHeight="false" outlineLevel="0" collapsed="false">
      <c r="A17" s="12" t="s">
        <v>1065</v>
      </c>
      <c r="B17" s="49" t="s">
        <v>1062</v>
      </c>
      <c r="C17" s="12" t="s">
        <v>1068</v>
      </c>
      <c r="D17" s="12" t="s">
        <v>1069</v>
      </c>
    </row>
    <row r="18" customFormat="false" ht="15" hidden="false" customHeight="false" outlineLevel="0" collapsed="false">
      <c r="A18" s="12" t="s">
        <v>61</v>
      </c>
      <c r="B18" s="49" t="s">
        <v>1033</v>
      </c>
      <c r="C18" s="12" t="s">
        <v>1070</v>
      </c>
      <c r="D18" s="12" t="s">
        <v>1071</v>
      </c>
    </row>
    <row r="19" customFormat="false" ht="15" hidden="false" customHeight="false" outlineLevel="0" collapsed="false">
      <c r="A19" s="12" t="s">
        <v>61</v>
      </c>
      <c r="B19" s="49" t="s">
        <v>1033</v>
      </c>
      <c r="C19" s="12" t="s">
        <v>1072</v>
      </c>
      <c r="D19" s="13" t="s">
        <v>1073</v>
      </c>
    </row>
    <row r="20" customFormat="false" ht="15" hidden="false" customHeight="false" outlineLevel="0" collapsed="false">
      <c r="A20" s="12" t="s">
        <v>61</v>
      </c>
      <c r="B20" s="49" t="s">
        <v>1062</v>
      </c>
      <c r="C20" s="12" t="s">
        <v>1074</v>
      </c>
      <c r="D20" s="12" t="s">
        <v>1075</v>
      </c>
    </row>
    <row r="21" customFormat="false" ht="15" hidden="false" customHeight="false" outlineLevel="0" collapsed="false">
      <c r="A21" s="12" t="s">
        <v>1002</v>
      </c>
      <c r="B21" s="49" t="s">
        <v>1055</v>
      </c>
      <c r="C21" s="12" t="s">
        <v>1076</v>
      </c>
      <c r="D21" s="12" t="s">
        <v>1077</v>
      </c>
    </row>
    <row r="22" customFormat="false" ht="15" hidden="false" customHeight="false" outlineLevel="0" collapsed="false">
      <c r="A22" s="12" t="s">
        <v>1002</v>
      </c>
      <c r="B22" s="49" t="s">
        <v>1055</v>
      </c>
      <c r="C22" s="12" t="s">
        <v>1078</v>
      </c>
      <c r="D22" s="12" t="s">
        <v>1079</v>
      </c>
    </row>
    <row r="23" customFormat="false" ht="29.85" hidden="false" customHeight="false" outlineLevel="0" collapsed="false">
      <c r="A23" s="12" t="s">
        <v>1012</v>
      </c>
      <c r="B23" s="49" t="s">
        <v>1055</v>
      </c>
      <c r="C23" s="12" t="s">
        <v>1080</v>
      </c>
      <c r="D23" s="13" t="s">
        <v>1081</v>
      </c>
    </row>
    <row r="24" customFormat="false" ht="15" hidden="false" customHeight="false" outlineLevel="0" collapsed="false">
      <c r="A24" s="12" t="s">
        <v>1012</v>
      </c>
      <c r="B24" s="49" t="s">
        <v>1062</v>
      </c>
      <c r="C24" s="12" t="s">
        <v>1082</v>
      </c>
      <c r="D24" s="13" t="s">
        <v>1083</v>
      </c>
    </row>
    <row r="25" customFormat="false" ht="15" hidden="false" customHeight="false" outlineLevel="0" collapsed="false">
      <c r="A25" s="12" t="s">
        <v>1017</v>
      </c>
      <c r="B25" s="49" t="s">
        <v>1055</v>
      </c>
      <c r="C25" s="12" t="s">
        <v>1084</v>
      </c>
      <c r="D25" s="12" t="s">
        <v>1085</v>
      </c>
    </row>
    <row r="26" customFormat="false" ht="26.85" hidden="false" customHeight="false" outlineLevel="0" collapsed="false">
      <c r="A26" s="12" t="s">
        <v>1017</v>
      </c>
      <c r="B26" s="49" t="s">
        <v>1086</v>
      </c>
      <c r="C26" s="12" t="s">
        <v>1087</v>
      </c>
      <c r="D26" s="13" t="s">
        <v>1088</v>
      </c>
    </row>
    <row r="27" customFormat="false" ht="15" hidden="false" customHeight="false" outlineLevel="0" collapsed="false">
      <c r="A27" s="12" t="s">
        <v>1008</v>
      </c>
      <c r="B27" s="12" t="s">
        <v>987</v>
      </c>
      <c r="C27" s="13" t="s">
        <v>1089</v>
      </c>
      <c r="D27" s="12" t="s">
        <v>1090</v>
      </c>
    </row>
    <row r="28" customFormat="false" ht="15" hidden="false" customHeight="false" outlineLevel="0" collapsed="false">
      <c r="A28" s="12" t="s">
        <v>81</v>
      </c>
      <c r="B28" s="12" t="s">
        <v>987</v>
      </c>
      <c r="C28" s="13" t="s">
        <v>1089</v>
      </c>
      <c r="D28" s="12" t="s">
        <v>1091</v>
      </c>
    </row>
    <row r="29" customFormat="false" ht="15" hidden="false" customHeight="false" outlineLevel="0" collapsed="false">
      <c r="A29" s="13" t="s">
        <v>1092</v>
      </c>
      <c r="B29" s="49" t="s">
        <v>1062</v>
      </c>
      <c r="C29" s="12" t="s">
        <v>1093</v>
      </c>
      <c r="D29" s="13" t="s">
        <v>1094</v>
      </c>
    </row>
    <row r="30" customFormat="false" ht="15" hidden="false" customHeight="false" outlineLevel="0" collapsed="false">
      <c r="A30" s="13" t="s">
        <v>1092</v>
      </c>
      <c r="B30" s="49" t="s">
        <v>1095</v>
      </c>
      <c r="C30" s="12" t="s">
        <v>1096</v>
      </c>
      <c r="D30" s="12" t="s">
        <v>1097</v>
      </c>
    </row>
  </sheetData>
  <hyperlinks>
    <hyperlink ref="B4" r:id="rId1" display="vra-lifecycle（private）"/>
    <hyperlink ref="B5" r:id="rId2" display="vra-lifecycle（private）"/>
    <hyperlink ref="B6" r:id="rId3" display="vra-lifecycle（private）"/>
    <hyperlink ref="B7" r:id="rId4" display="vcf9.1-lab-private（private）"/>
    <hyperlink ref="B8" r:id="rId5" display="vcf9offlinescript"/>
    <hyperlink ref="B9" r:id="rId6" display="vcf9offlinescript"/>
    <hyperlink ref="B10" r:id="rId7" display="vcf-download-tool"/>
    <hyperlink ref="B11" r:id="rId8" display="vcf9.1-lab-private（private）/ vcf9offlinescript"/>
    <hyperlink ref="B12" r:id="rId9" display="v8tov9"/>
    <hyperlink ref="B13" r:id="rId10" display="v8tov9"/>
    <hyperlink ref="B14" r:id="rId11" display="v8tov9"/>
    <hyperlink ref="B15" r:id="rId12" display="debug-vcf9.1"/>
    <hyperlink ref="B16" r:id="rId13" display="vra-lifecycle（private）"/>
    <hyperlink ref="B17" r:id="rId14" display="debug-vcf9.1"/>
    <hyperlink ref="B18" r:id="rId15" display="vra-lifecycle（private）"/>
    <hyperlink ref="B19" r:id="rId16" display="vra-lifecycle（private）"/>
    <hyperlink ref="B20" r:id="rId17" display="debug-vcf9.1"/>
    <hyperlink ref="B21" r:id="rId18" display="v8tov9"/>
    <hyperlink ref="B22" r:id="rId19" display="v8tov9"/>
    <hyperlink ref="B23" r:id="rId20" display="v8tov9"/>
    <hyperlink ref="B24" r:id="rId21" display="debug-vcf9.1"/>
    <hyperlink ref="B25" r:id="rId22" display="v8tov9"/>
    <hyperlink ref="B26" r:id="rId23" display="vcf-skills"/>
    <hyperlink ref="B29" r:id="rId24" display="debug-vcf9.1"/>
    <hyperlink ref="B30" r:id="rId25" display="lab-info"/>
  </hyperlink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2026-10-07T13:58:01Z</dcterms:created>
  <dc:creator>openpyxl</dc:creator>
  <dc:description/>
  <dc:language>en-US</dc:language>
  <cp:lastModifiedBy/>
  <dcterms:modified xsi:type="dcterms:W3CDTF">2026-10-07T13:58:01Z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